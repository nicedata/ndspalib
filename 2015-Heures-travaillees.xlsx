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65" windowWidth="26670" windowHeight="10455" activeTab="2"/>
  </bookViews>
  <sheets>
    <sheet name="Extraction" sheetId="1" r:id="rId1"/>
    <sheet name="Heures épurées" sheetId="2" r:id="rId2"/>
    <sheet name="Heures brutes" sheetId="3" r:id="rId3"/>
    <sheet name="Heures productives" sheetId="9" r:id="rId4"/>
    <sheet name="Heures audio produites-recap" sheetId="4" r:id="rId5"/>
    <sheet name="Heures audio prod-extrNetBiblio" sheetId="5" r:id="rId6"/>
    <sheet name="Audio par type de média2" sheetId="7" r:id="rId7"/>
    <sheet name="Heures audio copies" sheetId="8" r:id="rId8"/>
    <sheet name="Heures braille produites" sheetId="6" r:id="rId9"/>
    <sheet name="Feuil1" sheetId="10" r:id="rId10"/>
  </sheets>
  <externalReferences>
    <externalReference r:id="rId11"/>
  </externalReferences>
  <calcPr calcId="125725"/>
</workbook>
</file>

<file path=xl/calcChain.xml><?xml version="1.0" encoding="utf-8"?>
<calcChain xmlns="http://schemas.openxmlformats.org/spreadsheetml/2006/main">
  <c r="EU31" i="9"/>
  <c r="ER31"/>
  <c r="DQ31"/>
  <c r="DP31"/>
  <c r="CX31"/>
  <c r="CR31"/>
  <c r="CE31"/>
  <c r="CC32"/>
  <c r="EV32" s="1"/>
  <c r="FA70" s="1"/>
  <c r="EU68" s="1"/>
  <c r="FA68"/>
  <c r="EV31" l="1"/>
  <c r="FA67" s="1"/>
  <c r="EV23"/>
  <c r="EV23" i="3"/>
  <c r="FF45" i="9"/>
  <c r="BU26"/>
  <c r="X45"/>
  <c r="Y45"/>
  <c r="Z45"/>
  <c r="AA45"/>
  <c r="CW45"/>
  <c r="EL45"/>
  <c r="EV25"/>
  <c r="EV24"/>
  <c r="EV17"/>
  <c r="EV5"/>
  <c r="EA47"/>
  <c r="EV47" s="1"/>
  <c r="BP40"/>
  <c r="EV40" s="1"/>
  <c r="BT39"/>
  <c r="EV39" s="1"/>
  <c r="CV35"/>
  <c r="DN44"/>
  <c r="DM44"/>
  <c r="FA74" s="1"/>
  <c r="DL44"/>
  <c r="DK44"/>
  <c r="DJ44"/>
  <c r="DI44"/>
  <c r="DH44"/>
  <c r="FA73" s="1"/>
  <c r="DG44"/>
  <c r="DF44"/>
  <c r="DE44"/>
  <c r="DD44"/>
  <c r="DC44"/>
  <c r="DB44"/>
  <c r="DA44"/>
  <c r="CZ44"/>
  <c r="CY44"/>
  <c r="CP33"/>
  <c r="CJ38"/>
  <c r="CI38"/>
  <c r="CA37"/>
  <c r="EV37" s="1"/>
  <c r="BW36"/>
  <c r="BV36"/>
  <c r="BS35"/>
  <c r="BR35"/>
  <c r="BQ35"/>
  <c r="CQ33"/>
  <c r="U46"/>
  <c r="T46"/>
  <c r="EU67" l="1"/>
  <c r="EU70" s="1"/>
  <c r="FA75"/>
  <c r="FA78"/>
  <c r="FA72"/>
  <c r="FA76"/>
  <c r="EV45"/>
  <c r="EV35"/>
  <c r="EV33"/>
  <c r="EV46"/>
  <c r="EV38"/>
  <c r="EV36"/>
  <c r="EV44"/>
  <c r="FF43" l="1"/>
  <c r="FF46" s="1"/>
  <c r="FF47" s="1"/>
  <c r="EV48"/>
  <c r="FA69"/>
  <c r="FA79"/>
  <c r="FA80" s="1"/>
  <c r="BK22" l="1"/>
  <c r="EV22" s="1"/>
  <c r="AP21"/>
  <c r="EV21" s="1"/>
  <c r="BK20"/>
  <c r="EV20" s="1"/>
  <c r="AD19"/>
  <c r="EV19" s="1"/>
  <c r="BA18"/>
  <c r="EV18" s="1"/>
  <c r="AD16"/>
  <c r="EV16" s="1"/>
  <c r="B15"/>
  <c r="EV15" s="1"/>
  <c r="AD14"/>
  <c r="EV14" s="1"/>
  <c r="B13"/>
  <c r="EV13" s="1"/>
  <c r="AD12"/>
  <c r="EV12" s="1"/>
  <c r="AD11"/>
  <c r="EV11" s="1"/>
  <c r="AP10"/>
  <c r="EV10" s="1"/>
  <c r="B9"/>
  <c r="EV9" s="1"/>
  <c r="AP8"/>
  <c r="EV8" s="1"/>
  <c r="AD7"/>
  <c r="EV7" s="1"/>
  <c r="AD6"/>
  <c r="EV6" s="1"/>
  <c r="B4"/>
  <c r="EV4" s="1"/>
  <c r="BA3"/>
  <c r="EV3" s="1"/>
  <c r="BK34" l="1"/>
  <c r="EV34" s="1"/>
  <c r="EV56"/>
  <c r="EV55"/>
  <c r="ET26"/>
  <c r="ES26"/>
  <c r="EQ26"/>
  <c r="EP26"/>
  <c r="EO26"/>
  <c r="EN26"/>
  <c r="EM26"/>
  <c r="EK26"/>
  <c r="EJ26"/>
  <c r="EI26"/>
  <c r="EH26"/>
  <c r="EG26"/>
  <c r="EF26"/>
  <c r="EE26"/>
  <c r="ED26"/>
  <c r="EC26"/>
  <c r="EB26"/>
  <c r="DZ26"/>
  <c r="DY26"/>
  <c r="DX26"/>
  <c r="DW26"/>
  <c r="DV26"/>
  <c r="DU26"/>
  <c r="DT26"/>
  <c r="DS26"/>
  <c r="DR26"/>
  <c r="DO26"/>
  <c r="CU26"/>
  <c r="CT26"/>
  <c r="CS26"/>
  <c r="CO26"/>
  <c r="CN26"/>
  <c r="CM26"/>
  <c r="CL26"/>
  <c r="CK26"/>
  <c r="CH26"/>
  <c r="CG26"/>
  <c r="CF26"/>
  <c r="CD26"/>
  <c r="BZ26"/>
  <c r="BY26"/>
  <c r="BX26"/>
  <c r="BO26"/>
  <c r="BN26"/>
  <c r="BM26"/>
  <c r="BL26"/>
  <c r="BJ26"/>
  <c r="BI26"/>
  <c r="BH26"/>
  <c r="BG26"/>
  <c r="BF26"/>
  <c r="BE26"/>
  <c r="BD26"/>
  <c r="BC26"/>
  <c r="BB26"/>
  <c r="BA26"/>
  <c r="AZ26"/>
  <c r="AY26"/>
  <c r="AX26"/>
  <c r="AW26"/>
  <c r="AV26"/>
  <c r="AU26"/>
  <c r="AT26"/>
  <c r="AS26"/>
  <c r="AR26"/>
  <c r="AQ26"/>
  <c r="AP26"/>
  <c r="AO26"/>
  <c r="AN26"/>
  <c r="AM26"/>
  <c r="AL26"/>
  <c r="AK26"/>
  <c r="AJ26"/>
  <c r="AI26"/>
  <c r="AH26"/>
  <c r="AG26"/>
  <c r="AF26"/>
  <c r="AE26"/>
  <c r="AD26"/>
  <c r="AC26"/>
  <c r="AB26"/>
  <c r="W26"/>
  <c r="V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EX25"/>
  <c r="EV2"/>
  <c r="A543" i="7"/>
  <c r="A540"/>
  <c r="A539"/>
  <c r="A541"/>
  <c r="A542"/>
  <c r="FA51" i="9" l="1"/>
  <c r="EV57"/>
  <c r="EW26"/>
  <c r="EV26"/>
  <c r="B79" i="3"/>
  <c r="FA64" i="9" l="1"/>
  <c r="EU64" s="1"/>
  <c r="FA50"/>
  <c r="B72" i="3"/>
  <c r="B73"/>
  <c r="C59"/>
  <c r="B71"/>
  <c r="E47" i="4"/>
  <c r="E8"/>
  <c r="E13"/>
  <c r="D13"/>
  <c r="E11"/>
  <c r="D11"/>
  <c r="D8"/>
  <c r="D3" s="1"/>
  <c r="M608" i="5"/>
  <c r="M609"/>
  <c r="B608"/>
  <c r="B392"/>
  <c r="B609"/>
  <c r="M605"/>
  <c r="M604"/>
  <c r="B604"/>
  <c r="M392"/>
  <c r="M263"/>
  <c r="B263"/>
  <c r="M599"/>
  <c r="B599"/>
  <c r="M587"/>
  <c r="B587"/>
  <c r="L483"/>
  <c r="B531"/>
  <c r="M494"/>
  <c r="B494"/>
  <c r="B484"/>
  <c r="B388"/>
  <c r="FA63" i="9" l="1"/>
  <c r="FA52"/>
  <c r="B42" i="5"/>
  <c r="B259" s="1"/>
  <c r="I598"/>
  <c r="J598" s="1"/>
  <c r="K598" s="1"/>
  <c r="F598"/>
  <c r="G598" s="1"/>
  <c r="H598" s="1"/>
  <c r="L598" s="1"/>
  <c r="M598" s="1"/>
  <c r="I597"/>
  <c r="J597" s="1"/>
  <c r="K597" s="1"/>
  <c r="F597"/>
  <c r="G597" s="1"/>
  <c r="H597" s="1"/>
  <c r="I596"/>
  <c r="J596" s="1"/>
  <c r="K596" s="1"/>
  <c r="F596"/>
  <c r="G596" s="1"/>
  <c r="H596" s="1"/>
  <c r="I595"/>
  <c r="J595" s="1"/>
  <c r="K595" s="1"/>
  <c r="F595"/>
  <c r="G595" s="1"/>
  <c r="H595" s="1"/>
  <c r="I594"/>
  <c r="J594" s="1"/>
  <c r="K594" s="1"/>
  <c r="F594"/>
  <c r="G594" s="1"/>
  <c r="H594" s="1"/>
  <c r="I593"/>
  <c r="J593" s="1"/>
  <c r="K593" s="1"/>
  <c r="F593"/>
  <c r="G593" s="1"/>
  <c r="H593" s="1"/>
  <c r="I592"/>
  <c r="J592" s="1"/>
  <c r="K592" s="1"/>
  <c r="F592"/>
  <c r="G592" s="1"/>
  <c r="H592" s="1"/>
  <c r="I586"/>
  <c r="J586" s="1"/>
  <c r="K586" s="1"/>
  <c r="F586"/>
  <c r="G586" s="1"/>
  <c r="H586" s="1"/>
  <c r="I585"/>
  <c r="J585" s="1"/>
  <c r="K585" s="1"/>
  <c r="F585"/>
  <c r="G585" s="1"/>
  <c r="H585" s="1"/>
  <c r="I584"/>
  <c r="J584" s="1"/>
  <c r="K584" s="1"/>
  <c r="F584"/>
  <c r="G584" s="1"/>
  <c r="H584" s="1"/>
  <c r="I583"/>
  <c r="J583" s="1"/>
  <c r="K583" s="1"/>
  <c r="F583"/>
  <c r="G583" s="1"/>
  <c r="H583" s="1"/>
  <c r="I582"/>
  <c r="J582" s="1"/>
  <c r="K582" s="1"/>
  <c r="F582"/>
  <c r="G582" s="1"/>
  <c r="H582" s="1"/>
  <c r="I581"/>
  <c r="J581" s="1"/>
  <c r="K581" s="1"/>
  <c r="F581"/>
  <c r="G581" s="1"/>
  <c r="H581" s="1"/>
  <c r="I580"/>
  <c r="J580" s="1"/>
  <c r="K580" s="1"/>
  <c r="F580"/>
  <c r="G580" s="1"/>
  <c r="H580" s="1"/>
  <c r="I579"/>
  <c r="J579" s="1"/>
  <c r="K579" s="1"/>
  <c r="F579"/>
  <c r="G579" s="1"/>
  <c r="H579" s="1"/>
  <c r="I578"/>
  <c r="J578" s="1"/>
  <c r="K578" s="1"/>
  <c r="F578"/>
  <c r="G578" s="1"/>
  <c r="H578" s="1"/>
  <c r="I577"/>
  <c r="J577" s="1"/>
  <c r="K577" s="1"/>
  <c r="F577"/>
  <c r="G577" s="1"/>
  <c r="H577" s="1"/>
  <c r="I576"/>
  <c r="J576" s="1"/>
  <c r="K576" s="1"/>
  <c r="F576"/>
  <c r="G576" s="1"/>
  <c r="H576" s="1"/>
  <c r="I575"/>
  <c r="J575" s="1"/>
  <c r="K575" s="1"/>
  <c r="F575"/>
  <c r="G575" s="1"/>
  <c r="H575" s="1"/>
  <c r="I574"/>
  <c r="J574" s="1"/>
  <c r="K574" s="1"/>
  <c r="F574"/>
  <c r="G574" s="1"/>
  <c r="H574" s="1"/>
  <c r="I573"/>
  <c r="J573" s="1"/>
  <c r="K573" s="1"/>
  <c r="F573"/>
  <c r="G573" s="1"/>
  <c r="H573" s="1"/>
  <c r="I572"/>
  <c r="J572" s="1"/>
  <c r="K572" s="1"/>
  <c r="F572"/>
  <c r="G572" s="1"/>
  <c r="H572" s="1"/>
  <c r="I571"/>
  <c r="J571" s="1"/>
  <c r="K571" s="1"/>
  <c r="F571"/>
  <c r="G571" s="1"/>
  <c r="H571" s="1"/>
  <c r="I570"/>
  <c r="J570" s="1"/>
  <c r="K570" s="1"/>
  <c r="F570"/>
  <c r="G570" s="1"/>
  <c r="H570" s="1"/>
  <c r="I569"/>
  <c r="J569" s="1"/>
  <c r="K569" s="1"/>
  <c r="F569"/>
  <c r="G569" s="1"/>
  <c r="H569" s="1"/>
  <c r="I568"/>
  <c r="J568" s="1"/>
  <c r="K568" s="1"/>
  <c r="F568"/>
  <c r="G568" s="1"/>
  <c r="H568" s="1"/>
  <c r="I567"/>
  <c r="J567" s="1"/>
  <c r="K567" s="1"/>
  <c r="F567"/>
  <c r="G567" s="1"/>
  <c r="H567" s="1"/>
  <c r="I566"/>
  <c r="J566" s="1"/>
  <c r="K566" s="1"/>
  <c r="F566"/>
  <c r="G566" s="1"/>
  <c r="H566" s="1"/>
  <c r="I565"/>
  <c r="J565" s="1"/>
  <c r="K565" s="1"/>
  <c r="F565"/>
  <c r="G565" s="1"/>
  <c r="H565" s="1"/>
  <c r="I564"/>
  <c r="J564" s="1"/>
  <c r="K564" s="1"/>
  <c r="F564"/>
  <c r="G564" s="1"/>
  <c r="H564" s="1"/>
  <c r="I563"/>
  <c r="J563" s="1"/>
  <c r="K563" s="1"/>
  <c r="F563"/>
  <c r="G563" s="1"/>
  <c r="H563" s="1"/>
  <c r="I562"/>
  <c r="J562" s="1"/>
  <c r="K562" s="1"/>
  <c r="F562"/>
  <c r="G562" s="1"/>
  <c r="H562" s="1"/>
  <c r="I561"/>
  <c r="J561" s="1"/>
  <c r="K561" s="1"/>
  <c r="F561"/>
  <c r="G561" s="1"/>
  <c r="H561" s="1"/>
  <c r="I560"/>
  <c r="J560" s="1"/>
  <c r="K560" s="1"/>
  <c r="F560"/>
  <c r="G560" s="1"/>
  <c r="H560" s="1"/>
  <c r="I559"/>
  <c r="J559" s="1"/>
  <c r="K559" s="1"/>
  <c r="F559"/>
  <c r="G559" s="1"/>
  <c r="H559" s="1"/>
  <c r="I558"/>
  <c r="J558" s="1"/>
  <c r="K558" s="1"/>
  <c r="F558"/>
  <c r="G558" s="1"/>
  <c r="H558" s="1"/>
  <c r="I557"/>
  <c r="J557" s="1"/>
  <c r="K557" s="1"/>
  <c r="G557"/>
  <c r="H557" s="1"/>
  <c r="F557"/>
  <c r="I556"/>
  <c r="J556" s="1"/>
  <c r="K556" s="1"/>
  <c r="F556"/>
  <c r="G556" s="1"/>
  <c r="H556" s="1"/>
  <c r="I555"/>
  <c r="J555" s="1"/>
  <c r="K555" s="1"/>
  <c r="F555"/>
  <c r="G555" s="1"/>
  <c r="H555" s="1"/>
  <c r="I554"/>
  <c r="J554" s="1"/>
  <c r="K554" s="1"/>
  <c r="F554"/>
  <c r="G554" s="1"/>
  <c r="H554" s="1"/>
  <c r="I553"/>
  <c r="J553" s="1"/>
  <c r="K553" s="1"/>
  <c r="F553"/>
  <c r="G553" s="1"/>
  <c r="H553" s="1"/>
  <c r="I552"/>
  <c r="J552" s="1"/>
  <c r="K552" s="1"/>
  <c r="F552"/>
  <c r="G552" s="1"/>
  <c r="H552" s="1"/>
  <c r="I551"/>
  <c r="J551" s="1"/>
  <c r="K551" s="1"/>
  <c r="F551"/>
  <c r="G551" s="1"/>
  <c r="H551" s="1"/>
  <c r="I550"/>
  <c r="J550" s="1"/>
  <c r="K550" s="1"/>
  <c r="F550"/>
  <c r="G550" s="1"/>
  <c r="H550" s="1"/>
  <c r="I549"/>
  <c r="J549" s="1"/>
  <c r="K549" s="1"/>
  <c r="F549"/>
  <c r="G549" s="1"/>
  <c r="H549" s="1"/>
  <c r="I548"/>
  <c r="J548" s="1"/>
  <c r="K548" s="1"/>
  <c r="F548"/>
  <c r="G548" s="1"/>
  <c r="H548" s="1"/>
  <c r="I547"/>
  <c r="J547" s="1"/>
  <c r="K547" s="1"/>
  <c r="F547"/>
  <c r="G547" s="1"/>
  <c r="H547" s="1"/>
  <c r="I546"/>
  <c r="J546" s="1"/>
  <c r="K546" s="1"/>
  <c r="F546"/>
  <c r="G546" s="1"/>
  <c r="H546" s="1"/>
  <c r="I545"/>
  <c r="J545" s="1"/>
  <c r="K545" s="1"/>
  <c r="F545"/>
  <c r="G545" s="1"/>
  <c r="H545" s="1"/>
  <c r="I544"/>
  <c r="J544" s="1"/>
  <c r="K544" s="1"/>
  <c r="F544"/>
  <c r="G544" s="1"/>
  <c r="H544" s="1"/>
  <c r="I543"/>
  <c r="J543" s="1"/>
  <c r="K543" s="1"/>
  <c r="F543"/>
  <c r="G543" s="1"/>
  <c r="H543" s="1"/>
  <c r="I542"/>
  <c r="J542" s="1"/>
  <c r="K542" s="1"/>
  <c r="F542"/>
  <c r="G542" s="1"/>
  <c r="H542" s="1"/>
  <c r="I541"/>
  <c r="J541" s="1"/>
  <c r="K541" s="1"/>
  <c r="F541"/>
  <c r="G541" s="1"/>
  <c r="H541" s="1"/>
  <c r="I530"/>
  <c r="J530" s="1"/>
  <c r="K530" s="1"/>
  <c r="F530"/>
  <c r="G530" s="1"/>
  <c r="H530" s="1"/>
  <c r="I529"/>
  <c r="J529" s="1"/>
  <c r="K529" s="1"/>
  <c r="F529"/>
  <c r="G529" s="1"/>
  <c r="H529" s="1"/>
  <c r="I528"/>
  <c r="J528" s="1"/>
  <c r="K528" s="1"/>
  <c r="F528"/>
  <c r="G528" s="1"/>
  <c r="H528" s="1"/>
  <c r="I527"/>
  <c r="J527" s="1"/>
  <c r="K527" s="1"/>
  <c r="F527"/>
  <c r="G527" s="1"/>
  <c r="H527" s="1"/>
  <c r="I526"/>
  <c r="J526" s="1"/>
  <c r="K526" s="1"/>
  <c r="F526"/>
  <c r="G526" s="1"/>
  <c r="H526" s="1"/>
  <c r="I525"/>
  <c r="J525" s="1"/>
  <c r="K525" s="1"/>
  <c r="F525"/>
  <c r="G525" s="1"/>
  <c r="H525" s="1"/>
  <c r="I524"/>
  <c r="J524" s="1"/>
  <c r="K524" s="1"/>
  <c r="F524"/>
  <c r="G524" s="1"/>
  <c r="H524" s="1"/>
  <c r="I523"/>
  <c r="J523" s="1"/>
  <c r="K523" s="1"/>
  <c r="F523"/>
  <c r="G523" s="1"/>
  <c r="H523" s="1"/>
  <c r="I522"/>
  <c r="J522" s="1"/>
  <c r="K522" s="1"/>
  <c r="F522"/>
  <c r="G522" s="1"/>
  <c r="H522" s="1"/>
  <c r="I521"/>
  <c r="J521" s="1"/>
  <c r="K521" s="1"/>
  <c r="F521"/>
  <c r="G521" s="1"/>
  <c r="H521" s="1"/>
  <c r="I520"/>
  <c r="J520" s="1"/>
  <c r="K520" s="1"/>
  <c r="F520"/>
  <c r="G520" s="1"/>
  <c r="H520" s="1"/>
  <c r="I519"/>
  <c r="J519" s="1"/>
  <c r="K519" s="1"/>
  <c r="F519"/>
  <c r="G519" s="1"/>
  <c r="H519" s="1"/>
  <c r="I518"/>
  <c r="J518" s="1"/>
  <c r="K518" s="1"/>
  <c r="F518"/>
  <c r="G518" s="1"/>
  <c r="H518" s="1"/>
  <c r="I517"/>
  <c r="J517" s="1"/>
  <c r="K517" s="1"/>
  <c r="F517"/>
  <c r="G517" s="1"/>
  <c r="H517" s="1"/>
  <c r="I516"/>
  <c r="J516" s="1"/>
  <c r="K516" s="1"/>
  <c r="F516"/>
  <c r="G516" s="1"/>
  <c r="H516" s="1"/>
  <c r="I515"/>
  <c r="J515" s="1"/>
  <c r="K515" s="1"/>
  <c r="F515"/>
  <c r="G515" s="1"/>
  <c r="H515" s="1"/>
  <c r="I514"/>
  <c r="J514" s="1"/>
  <c r="K514" s="1"/>
  <c r="F514"/>
  <c r="G514" s="1"/>
  <c r="H514" s="1"/>
  <c r="I513"/>
  <c r="J513" s="1"/>
  <c r="K513" s="1"/>
  <c r="F513"/>
  <c r="G513" s="1"/>
  <c r="H513" s="1"/>
  <c r="I512"/>
  <c r="J512" s="1"/>
  <c r="K512" s="1"/>
  <c r="F512"/>
  <c r="G512" s="1"/>
  <c r="H512" s="1"/>
  <c r="I511"/>
  <c r="J511" s="1"/>
  <c r="K511" s="1"/>
  <c r="F511"/>
  <c r="G511" s="1"/>
  <c r="H511" s="1"/>
  <c r="I510"/>
  <c r="J510" s="1"/>
  <c r="K510" s="1"/>
  <c r="F510"/>
  <c r="G510" s="1"/>
  <c r="H510" s="1"/>
  <c r="I509"/>
  <c r="J509" s="1"/>
  <c r="K509" s="1"/>
  <c r="F509"/>
  <c r="G509" s="1"/>
  <c r="H509" s="1"/>
  <c r="I508"/>
  <c r="J508" s="1"/>
  <c r="K508" s="1"/>
  <c r="F508"/>
  <c r="G508" s="1"/>
  <c r="H508" s="1"/>
  <c r="I507"/>
  <c r="J507" s="1"/>
  <c r="K507" s="1"/>
  <c r="F507"/>
  <c r="G507" s="1"/>
  <c r="H507" s="1"/>
  <c r="I506"/>
  <c r="J506" s="1"/>
  <c r="K506" s="1"/>
  <c r="F506"/>
  <c r="G506" s="1"/>
  <c r="H506" s="1"/>
  <c r="I505"/>
  <c r="J505" s="1"/>
  <c r="K505" s="1"/>
  <c r="F505"/>
  <c r="G505" s="1"/>
  <c r="H505" s="1"/>
  <c r="I504"/>
  <c r="J504" s="1"/>
  <c r="K504" s="1"/>
  <c r="F504"/>
  <c r="G504" s="1"/>
  <c r="H504" s="1"/>
  <c r="I503"/>
  <c r="J503" s="1"/>
  <c r="K503" s="1"/>
  <c r="F503"/>
  <c r="G503" s="1"/>
  <c r="H503" s="1"/>
  <c r="I502"/>
  <c r="J502" s="1"/>
  <c r="K502" s="1"/>
  <c r="F502"/>
  <c r="G502" s="1"/>
  <c r="H502" s="1"/>
  <c r="I493"/>
  <c r="J493" s="1"/>
  <c r="K493" s="1"/>
  <c r="F493"/>
  <c r="G493" s="1"/>
  <c r="H493" s="1"/>
  <c r="I492"/>
  <c r="J492" s="1"/>
  <c r="K492" s="1"/>
  <c r="F492"/>
  <c r="G492" s="1"/>
  <c r="H492" s="1"/>
  <c r="I483"/>
  <c r="J483" s="1"/>
  <c r="K483" s="1"/>
  <c r="F483"/>
  <c r="G483" s="1"/>
  <c r="H483" s="1"/>
  <c r="I482"/>
  <c r="J482" s="1"/>
  <c r="K482" s="1"/>
  <c r="F482"/>
  <c r="G482" s="1"/>
  <c r="H482" s="1"/>
  <c r="I481"/>
  <c r="J481" s="1"/>
  <c r="K481" s="1"/>
  <c r="F481"/>
  <c r="G481" s="1"/>
  <c r="H481" s="1"/>
  <c r="I480"/>
  <c r="J480" s="1"/>
  <c r="K480" s="1"/>
  <c r="F480"/>
  <c r="G480" s="1"/>
  <c r="H480" s="1"/>
  <c r="I479"/>
  <c r="J479" s="1"/>
  <c r="K479" s="1"/>
  <c r="F479"/>
  <c r="G479" s="1"/>
  <c r="H479" s="1"/>
  <c r="I478"/>
  <c r="J478" s="1"/>
  <c r="K478" s="1"/>
  <c r="F478"/>
  <c r="G478" s="1"/>
  <c r="H478" s="1"/>
  <c r="I477"/>
  <c r="J477" s="1"/>
  <c r="K477" s="1"/>
  <c r="F477"/>
  <c r="G477" s="1"/>
  <c r="H477" s="1"/>
  <c r="I476"/>
  <c r="J476" s="1"/>
  <c r="K476" s="1"/>
  <c r="F476"/>
  <c r="G476" s="1"/>
  <c r="H476" s="1"/>
  <c r="I475"/>
  <c r="J475" s="1"/>
  <c r="K475" s="1"/>
  <c r="F475"/>
  <c r="G475" s="1"/>
  <c r="H475" s="1"/>
  <c r="I474"/>
  <c r="J474" s="1"/>
  <c r="K474" s="1"/>
  <c r="F474"/>
  <c r="G474" s="1"/>
  <c r="H474" s="1"/>
  <c r="I473"/>
  <c r="J473" s="1"/>
  <c r="K473" s="1"/>
  <c r="F473"/>
  <c r="G473" s="1"/>
  <c r="H473" s="1"/>
  <c r="I472"/>
  <c r="J472" s="1"/>
  <c r="K472" s="1"/>
  <c r="F472"/>
  <c r="G472" s="1"/>
  <c r="H472" s="1"/>
  <c r="I471"/>
  <c r="J471" s="1"/>
  <c r="K471" s="1"/>
  <c r="F471"/>
  <c r="G471" s="1"/>
  <c r="H471" s="1"/>
  <c r="I470"/>
  <c r="J470" s="1"/>
  <c r="K470" s="1"/>
  <c r="F470"/>
  <c r="G470" s="1"/>
  <c r="H470" s="1"/>
  <c r="I469"/>
  <c r="J469" s="1"/>
  <c r="K469" s="1"/>
  <c r="F469"/>
  <c r="G469" s="1"/>
  <c r="H469" s="1"/>
  <c r="I468"/>
  <c r="J468" s="1"/>
  <c r="K468" s="1"/>
  <c r="F468"/>
  <c r="G468" s="1"/>
  <c r="H468" s="1"/>
  <c r="I467"/>
  <c r="J467" s="1"/>
  <c r="K467" s="1"/>
  <c r="F467"/>
  <c r="G467" s="1"/>
  <c r="H467" s="1"/>
  <c r="I466"/>
  <c r="J466" s="1"/>
  <c r="K466" s="1"/>
  <c r="F466"/>
  <c r="G466" s="1"/>
  <c r="H466" s="1"/>
  <c r="I465"/>
  <c r="J465" s="1"/>
  <c r="K465" s="1"/>
  <c r="F465"/>
  <c r="G465" s="1"/>
  <c r="H465" s="1"/>
  <c r="I464"/>
  <c r="J464" s="1"/>
  <c r="K464" s="1"/>
  <c r="F464"/>
  <c r="G464" s="1"/>
  <c r="H464" s="1"/>
  <c r="I463"/>
  <c r="J463" s="1"/>
  <c r="K463" s="1"/>
  <c r="F463"/>
  <c r="G463" s="1"/>
  <c r="H463" s="1"/>
  <c r="I462"/>
  <c r="J462" s="1"/>
  <c r="K462" s="1"/>
  <c r="F462"/>
  <c r="G462" s="1"/>
  <c r="H462" s="1"/>
  <c r="I461"/>
  <c r="J461" s="1"/>
  <c r="K461" s="1"/>
  <c r="F461"/>
  <c r="G461" s="1"/>
  <c r="H461" s="1"/>
  <c r="I460"/>
  <c r="J460" s="1"/>
  <c r="K460" s="1"/>
  <c r="F460"/>
  <c r="G460" s="1"/>
  <c r="H460" s="1"/>
  <c r="I459"/>
  <c r="J459" s="1"/>
  <c r="K459" s="1"/>
  <c r="F459"/>
  <c r="G459" s="1"/>
  <c r="H459" s="1"/>
  <c r="I458"/>
  <c r="J458" s="1"/>
  <c r="K458" s="1"/>
  <c r="F458"/>
  <c r="G458" s="1"/>
  <c r="H458" s="1"/>
  <c r="I457"/>
  <c r="J457" s="1"/>
  <c r="K457" s="1"/>
  <c r="F457"/>
  <c r="G457" s="1"/>
  <c r="H457" s="1"/>
  <c r="I456"/>
  <c r="J456" s="1"/>
  <c r="K456" s="1"/>
  <c r="F456"/>
  <c r="G456" s="1"/>
  <c r="H456" s="1"/>
  <c r="I455"/>
  <c r="J455" s="1"/>
  <c r="K455" s="1"/>
  <c r="F455"/>
  <c r="G455" s="1"/>
  <c r="H455" s="1"/>
  <c r="I454"/>
  <c r="J454" s="1"/>
  <c r="K454" s="1"/>
  <c r="F454"/>
  <c r="G454" s="1"/>
  <c r="H454" s="1"/>
  <c r="I453"/>
  <c r="J453" s="1"/>
  <c r="K453" s="1"/>
  <c r="F453"/>
  <c r="G453" s="1"/>
  <c r="H453" s="1"/>
  <c r="I452"/>
  <c r="J452" s="1"/>
  <c r="K452" s="1"/>
  <c r="F452"/>
  <c r="G452" s="1"/>
  <c r="H452" s="1"/>
  <c r="I451"/>
  <c r="J451" s="1"/>
  <c r="K451" s="1"/>
  <c r="F451"/>
  <c r="G451" s="1"/>
  <c r="H451" s="1"/>
  <c r="I450"/>
  <c r="J450" s="1"/>
  <c r="K450" s="1"/>
  <c r="F450"/>
  <c r="G450" s="1"/>
  <c r="H450" s="1"/>
  <c r="I449"/>
  <c r="J449" s="1"/>
  <c r="K449" s="1"/>
  <c r="F449"/>
  <c r="G449" s="1"/>
  <c r="H449" s="1"/>
  <c r="I448"/>
  <c r="J448" s="1"/>
  <c r="K448" s="1"/>
  <c r="F448"/>
  <c r="G448" s="1"/>
  <c r="H448" s="1"/>
  <c r="I447"/>
  <c r="J447" s="1"/>
  <c r="K447" s="1"/>
  <c r="F447"/>
  <c r="G447" s="1"/>
  <c r="H447" s="1"/>
  <c r="I446"/>
  <c r="J446" s="1"/>
  <c r="K446" s="1"/>
  <c r="F446"/>
  <c r="G446" s="1"/>
  <c r="H446" s="1"/>
  <c r="I445"/>
  <c r="J445" s="1"/>
  <c r="K445" s="1"/>
  <c r="F445"/>
  <c r="G445" s="1"/>
  <c r="H445" s="1"/>
  <c r="I444"/>
  <c r="J444" s="1"/>
  <c r="K444" s="1"/>
  <c r="F444"/>
  <c r="G444" s="1"/>
  <c r="H444" s="1"/>
  <c r="I443"/>
  <c r="J443" s="1"/>
  <c r="K443" s="1"/>
  <c r="F443"/>
  <c r="G443" s="1"/>
  <c r="H443" s="1"/>
  <c r="I442"/>
  <c r="J442" s="1"/>
  <c r="K442" s="1"/>
  <c r="F442"/>
  <c r="G442" s="1"/>
  <c r="H442" s="1"/>
  <c r="I441"/>
  <c r="J441" s="1"/>
  <c r="K441" s="1"/>
  <c r="F441"/>
  <c r="G441" s="1"/>
  <c r="H441" s="1"/>
  <c r="I440"/>
  <c r="J440" s="1"/>
  <c r="K440" s="1"/>
  <c r="F440"/>
  <c r="G440" s="1"/>
  <c r="H440" s="1"/>
  <c r="I439"/>
  <c r="J439" s="1"/>
  <c r="K439" s="1"/>
  <c r="F439"/>
  <c r="G439" s="1"/>
  <c r="H439" s="1"/>
  <c r="I438"/>
  <c r="J438" s="1"/>
  <c r="K438" s="1"/>
  <c r="F438"/>
  <c r="G438" s="1"/>
  <c r="H438" s="1"/>
  <c r="I437"/>
  <c r="J437" s="1"/>
  <c r="K437" s="1"/>
  <c r="F437"/>
  <c r="G437" s="1"/>
  <c r="H437" s="1"/>
  <c r="I436"/>
  <c r="J436" s="1"/>
  <c r="K436" s="1"/>
  <c r="F436"/>
  <c r="G436" s="1"/>
  <c r="H436" s="1"/>
  <c r="I435"/>
  <c r="J435" s="1"/>
  <c r="K435" s="1"/>
  <c r="F435"/>
  <c r="G435" s="1"/>
  <c r="H435" s="1"/>
  <c r="I434"/>
  <c r="J434" s="1"/>
  <c r="K434" s="1"/>
  <c r="F434"/>
  <c r="G434" s="1"/>
  <c r="H434" s="1"/>
  <c r="I433"/>
  <c r="J433" s="1"/>
  <c r="K433" s="1"/>
  <c r="F433"/>
  <c r="G433" s="1"/>
  <c r="H433" s="1"/>
  <c r="I432"/>
  <c r="J432" s="1"/>
  <c r="K432" s="1"/>
  <c r="F432"/>
  <c r="G432" s="1"/>
  <c r="H432" s="1"/>
  <c r="I431"/>
  <c r="J431" s="1"/>
  <c r="K431" s="1"/>
  <c r="F431"/>
  <c r="G431" s="1"/>
  <c r="H431" s="1"/>
  <c r="I430"/>
  <c r="J430" s="1"/>
  <c r="K430" s="1"/>
  <c r="F430"/>
  <c r="G430" s="1"/>
  <c r="H430" s="1"/>
  <c r="I429"/>
  <c r="J429" s="1"/>
  <c r="K429" s="1"/>
  <c r="F429"/>
  <c r="G429" s="1"/>
  <c r="H429" s="1"/>
  <c r="I428"/>
  <c r="J428" s="1"/>
  <c r="K428" s="1"/>
  <c r="F428"/>
  <c r="G428" s="1"/>
  <c r="H428" s="1"/>
  <c r="I427"/>
  <c r="J427" s="1"/>
  <c r="K427" s="1"/>
  <c r="F427"/>
  <c r="G427" s="1"/>
  <c r="H427" s="1"/>
  <c r="I426"/>
  <c r="J426" s="1"/>
  <c r="K426" s="1"/>
  <c r="F426"/>
  <c r="G426" s="1"/>
  <c r="H426" s="1"/>
  <c r="I425"/>
  <c r="J425" s="1"/>
  <c r="K425" s="1"/>
  <c r="F425"/>
  <c r="G425" s="1"/>
  <c r="H425" s="1"/>
  <c r="I424"/>
  <c r="J424" s="1"/>
  <c r="K424" s="1"/>
  <c r="F424"/>
  <c r="G424" s="1"/>
  <c r="H424" s="1"/>
  <c r="I423"/>
  <c r="J423" s="1"/>
  <c r="K423" s="1"/>
  <c r="F423"/>
  <c r="G423" s="1"/>
  <c r="H423" s="1"/>
  <c r="I422"/>
  <c r="J422" s="1"/>
  <c r="K422" s="1"/>
  <c r="F422"/>
  <c r="G422" s="1"/>
  <c r="H422" s="1"/>
  <c r="I421"/>
  <c r="J421" s="1"/>
  <c r="K421" s="1"/>
  <c r="F421"/>
  <c r="G421" s="1"/>
  <c r="H421" s="1"/>
  <c r="I420"/>
  <c r="J420" s="1"/>
  <c r="K420" s="1"/>
  <c r="F420"/>
  <c r="G420" s="1"/>
  <c r="H420" s="1"/>
  <c r="I419"/>
  <c r="J419" s="1"/>
  <c r="K419" s="1"/>
  <c r="F419"/>
  <c r="G419" s="1"/>
  <c r="H419" s="1"/>
  <c r="I418"/>
  <c r="J418" s="1"/>
  <c r="K418" s="1"/>
  <c r="F418"/>
  <c r="G418" s="1"/>
  <c r="H418" s="1"/>
  <c r="I417"/>
  <c r="J417" s="1"/>
  <c r="K417" s="1"/>
  <c r="F417"/>
  <c r="G417" s="1"/>
  <c r="H417" s="1"/>
  <c r="I416"/>
  <c r="J416" s="1"/>
  <c r="K416" s="1"/>
  <c r="F416"/>
  <c r="G416" s="1"/>
  <c r="H416" s="1"/>
  <c r="I415"/>
  <c r="J415" s="1"/>
  <c r="K415" s="1"/>
  <c r="F415"/>
  <c r="G415" s="1"/>
  <c r="H415" s="1"/>
  <c r="I414"/>
  <c r="J414" s="1"/>
  <c r="K414" s="1"/>
  <c r="F414"/>
  <c r="G414" s="1"/>
  <c r="H414" s="1"/>
  <c r="I413"/>
  <c r="J413" s="1"/>
  <c r="K413" s="1"/>
  <c r="F413"/>
  <c r="G413" s="1"/>
  <c r="H413" s="1"/>
  <c r="I412"/>
  <c r="J412" s="1"/>
  <c r="K412" s="1"/>
  <c r="F412"/>
  <c r="G412" s="1"/>
  <c r="H412" s="1"/>
  <c r="I411"/>
  <c r="J411" s="1"/>
  <c r="K411" s="1"/>
  <c r="F411"/>
  <c r="G411" s="1"/>
  <c r="H411" s="1"/>
  <c r="I410"/>
  <c r="J410" s="1"/>
  <c r="K410" s="1"/>
  <c r="F410"/>
  <c r="G410" s="1"/>
  <c r="H410" s="1"/>
  <c r="I409"/>
  <c r="J409" s="1"/>
  <c r="K409" s="1"/>
  <c r="F409"/>
  <c r="G409" s="1"/>
  <c r="H409" s="1"/>
  <c r="I408"/>
  <c r="J408" s="1"/>
  <c r="K408" s="1"/>
  <c r="F408"/>
  <c r="G408" s="1"/>
  <c r="H408" s="1"/>
  <c r="I407"/>
  <c r="J407" s="1"/>
  <c r="K407" s="1"/>
  <c r="F407"/>
  <c r="G407" s="1"/>
  <c r="H407" s="1"/>
  <c r="J406"/>
  <c r="K406" s="1"/>
  <c r="I406"/>
  <c r="F406"/>
  <c r="G406" s="1"/>
  <c r="H406" s="1"/>
  <c r="I405"/>
  <c r="J405" s="1"/>
  <c r="K405" s="1"/>
  <c r="F405"/>
  <c r="G405" s="1"/>
  <c r="H405" s="1"/>
  <c r="I404"/>
  <c r="J404" s="1"/>
  <c r="K404" s="1"/>
  <c r="F404"/>
  <c r="G404" s="1"/>
  <c r="H404" s="1"/>
  <c r="I403"/>
  <c r="J403" s="1"/>
  <c r="K403" s="1"/>
  <c r="G403"/>
  <c r="H403" s="1"/>
  <c r="F403"/>
  <c r="I402"/>
  <c r="J402" s="1"/>
  <c r="K402" s="1"/>
  <c r="F402"/>
  <c r="G402" s="1"/>
  <c r="H402" s="1"/>
  <c r="I401"/>
  <c r="J401" s="1"/>
  <c r="K401" s="1"/>
  <c r="F401"/>
  <c r="G401" s="1"/>
  <c r="H401" s="1"/>
  <c r="J400"/>
  <c r="K400" s="1"/>
  <c r="I400"/>
  <c r="F400"/>
  <c r="G400" s="1"/>
  <c r="H400" s="1"/>
  <c r="I399"/>
  <c r="J399" s="1"/>
  <c r="K399" s="1"/>
  <c r="F399"/>
  <c r="G399" s="1"/>
  <c r="H399" s="1"/>
  <c r="I398"/>
  <c r="J398" s="1"/>
  <c r="K398" s="1"/>
  <c r="F398"/>
  <c r="G398" s="1"/>
  <c r="H398" s="1"/>
  <c r="I397"/>
  <c r="J397" s="1"/>
  <c r="K397" s="1"/>
  <c r="G397"/>
  <c r="H397" s="1"/>
  <c r="F397"/>
  <c r="I396"/>
  <c r="J396" s="1"/>
  <c r="K396" s="1"/>
  <c r="F396"/>
  <c r="G396" s="1"/>
  <c r="H396" s="1"/>
  <c r="I387"/>
  <c r="J387" s="1"/>
  <c r="K387" s="1"/>
  <c r="F387"/>
  <c r="G387" s="1"/>
  <c r="H387" s="1"/>
  <c r="I386"/>
  <c r="J386" s="1"/>
  <c r="K386" s="1"/>
  <c r="F386"/>
  <c r="G386" s="1"/>
  <c r="H386" s="1"/>
  <c r="I385"/>
  <c r="J385" s="1"/>
  <c r="K385" s="1"/>
  <c r="F385"/>
  <c r="G385" s="1"/>
  <c r="H385" s="1"/>
  <c r="I384"/>
  <c r="J384" s="1"/>
  <c r="K384" s="1"/>
  <c r="F384"/>
  <c r="G384" s="1"/>
  <c r="H384" s="1"/>
  <c r="I383"/>
  <c r="J383" s="1"/>
  <c r="K383" s="1"/>
  <c r="F383"/>
  <c r="G383" s="1"/>
  <c r="H383" s="1"/>
  <c r="I382"/>
  <c r="J382" s="1"/>
  <c r="K382" s="1"/>
  <c r="F382"/>
  <c r="G382" s="1"/>
  <c r="H382" s="1"/>
  <c r="I381"/>
  <c r="J381" s="1"/>
  <c r="K381" s="1"/>
  <c r="F381"/>
  <c r="G381" s="1"/>
  <c r="H381" s="1"/>
  <c r="I380"/>
  <c r="J380" s="1"/>
  <c r="K380" s="1"/>
  <c r="F380"/>
  <c r="G380" s="1"/>
  <c r="H380" s="1"/>
  <c r="I379"/>
  <c r="J379" s="1"/>
  <c r="K379" s="1"/>
  <c r="F379"/>
  <c r="G379" s="1"/>
  <c r="H379" s="1"/>
  <c r="I378"/>
  <c r="J378" s="1"/>
  <c r="K378" s="1"/>
  <c r="F378"/>
  <c r="G378" s="1"/>
  <c r="H378" s="1"/>
  <c r="I377"/>
  <c r="J377" s="1"/>
  <c r="K377" s="1"/>
  <c r="F377"/>
  <c r="G377" s="1"/>
  <c r="H377" s="1"/>
  <c r="I376"/>
  <c r="J376" s="1"/>
  <c r="K376" s="1"/>
  <c r="F376"/>
  <c r="G376" s="1"/>
  <c r="H376" s="1"/>
  <c r="I375"/>
  <c r="J375" s="1"/>
  <c r="K375" s="1"/>
  <c r="F375"/>
  <c r="G375" s="1"/>
  <c r="H375" s="1"/>
  <c r="I374"/>
  <c r="J374" s="1"/>
  <c r="K374" s="1"/>
  <c r="F374"/>
  <c r="G374" s="1"/>
  <c r="H374" s="1"/>
  <c r="I373"/>
  <c r="J373" s="1"/>
  <c r="K373" s="1"/>
  <c r="F373"/>
  <c r="G373" s="1"/>
  <c r="H373" s="1"/>
  <c r="I372"/>
  <c r="J372" s="1"/>
  <c r="K372" s="1"/>
  <c r="F372"/>
  <c r="G372" s="1"/>
  <c r="H372" s="1"/>
  <c r="I371"/>
  <c r="J371" s="1"/>
  <c r="K371" s="1"/>
  <c r="F371"/>
  <c r="G371" s="1"/>
  <c r="H371" s="1"/>
  <c r="I370"/>
  <c r="J370" s="1"/>
  <c r="K370" s="1"/>
  <c r="F370"/>
  <c r="G370" s="1"/>
  <c r="H370" s="1"/>
  <c r="I369"/>
  <c r="J369" s="1"/>
  <c r="K369" s="1"/>
  <c r="F369"/>
  <c r="G369" s="1"/>
  <c r="H369" s="1"/>
  <c r="I368"/>
  <c r="J368" s="1"/>
  <c r="K368" s="1"/>
  <c r="F368"/>
  <c r="G368" s="1"/>
  <c r="H368" s="1"/>
  <c r="I367"/>
  <c r="J367" s="1"/>
  <c r="K367" s="1"/>
  <c r="F367"/>
  <c r="G367" s="1"/>
  <c r="H367" s="1"/>
  <c r="I366"/>
  <c r="J366" s="1"/>
  <c r="K366" s="1"/>
  <c r="F366"/>
  <c r="G366" s="1"/>
  <c r="H366" s="1"/>
  <c r="I365"/>
  <c r="J365" s="1"/>
  <c r="K365" s="1"/>
  <c r="F365"/>
  <c r="G365" s="1"/>
  <c r="H365" s="1"/>
  <c r="I364"/>
  <c r="J364" s="1"/>
  <c r="K364" s="1"/>
  <c r="F364"/>
  <c r="G364" s="1"/>
  <c r="H364" s="1"/>
  <c r="I363"/>
  <c r="J363" s="1"/>
  <c r="K363" s="1"/>
  <c r="F363"/>
  <c r="G363" s="1"/>
  <c r="H363" s="1"/>
  <c r="I362"/>
  <c r="J362" s="1"/>
  <c r="K362" s="1"/>
  <c r="F362"/>
  <c r="G362" s="1"/>
  <c r="H362" s="1"/>
  <c r="I361"/>
  <c r="J361" s="1"/>
  <c r="K361" s="1"/>
  <c r="F361"/>
  <c r="G361" s="1"/>
  <c r="H361" s="1"/>
  <c r="I360"/>
  <c r="J360" s="1"/>
  <c r="K360" s="1"/>
  <c r="F360"/>
  <c r="G360" s="1"/>
  <c r="H360" s="1"/>
  <c r="I359"/>
  <c r="J359" s="1"/>
  <c r="K359" s="1"/>
  <c r="F359"/>
  <c r="G359" s="1"/>
  <c r="H359" s="1"/>
  <c r="I358"/>
  <c r="J358" s="1"/>
  <c r="K358" s="1"/>
  <c r="F358"/>
  <c r="G358" s="1"/>
  <c r="H358" s="1"/>
  <c r="I357"/>
  <c r="J357" s="1"/>
  <c r="K357" s="1"/>
  <c r="F357"/>
  <c r="G357" s="1"/>
  <c r="H357" s="1"/>
  <c r="I356"/>
  <c r="J356" s="1"/>
  <c r="K356" s="1"/>
  <c r="F356"/>
  <c r="G356" s="1"/>
  <c r="H356" s="1"/>
  <c r="I355"/>
  <c r="J355" s="1"/>
  <c r="K355" s="1"/>
  <c r="F355"/>
  <c r="G355" s="1"/>
  <c r="H355" s="1"/>
  <c r="I354"/>
  <c r="J354" s="1"/>
  <c r="K354" s="1"/>
  <c r="F354"/>
  <c r="G354" s="1"/>
  <c r="H354" s="1"/>
  <c r="I353"/>
  <c r="J353" s="1"/>
  <c r="K353" s="1"/>
  <c r="F353"/>
  <c r="G353" s="1"/>
  <c r="H353" s="1"/>
  <c r="I352"/>
  <c r="J352" s="1"/>
  <c r="K352" s="1"/>
  <c r="F352"/>
  <c r="G352" s="1"/>
  <c r="H352" s="1"/>
  <c r="I351"/>
  <c r="J351" s="1"/>
  <c r="K351" s="1"/>
  <c r="F351"/>
  <c r="G351" s="1"/>
  <c r="H351" s="1"/>
  <c r="I350"/>
  <c r="J350" s="1"/>
  <c r="K350" s="1"/>
  <c r="F350"/>
  <c r="G350" s="1"/>
  <c r="H350" s="1"/>
  <c r="I349"/>
  <c r="J349" s="1"/>
  <c r="K349" s="1"/>
  <c r="F349"/>
  <c r="G349" s="1"/>
  <c r="H349" s="1"/>
  <c r="I348"/>
  <c r="J348" s="1"/>
  <c r="K348" s="1"/>
  <c r="F348"/>
  <c r="G348" s="1"/>
  <c r="H348" s="1"/>
  <c r="I347"/>
  <c r="J347" s="1"/>
  <c r="K347" s="1"/>
  <c r="F347"/>
  <c r="G347" s="1"/>
  <c r="H347" s="1"/>
  <c r="I346"/>
  <c r="J346" s="1"/>
  <c r="K346" s="1"/>
  <c r="F346"/>
  <c r="G346" s="1"/>
  <c r="H346" s="1"/>
  <c r="I345"/>
  <c r="J345" s="1"/>
  <c r="K345" s="1"/>
  <c r="F345"/>
  <c r="G345" s="1"/>
  <c r="H345" s="1"/>
  <c r="I344"/>
  <c r="J344" s="1"/>
  <c r="K344" s="1"/>
  <c r="F344"/>
  <c r="G344" s="1"/>
  <c r="H344" s="1"/>
  <c r="I343"/>
  <c r="J343" s="1"/>
  <c r="K343" s="1"/>
  <c r="F343"/>
  <c r="G343" s="1"/>
  <c r="H343" s="1"/>
  <c r="I342"/>
  <c r="J342" s="1"/>
  <c r="K342" s="1"/>
  <c r="F342"/>
  <c r="G342" s="1"/>
  <c r="H342" s="1"/>
  <c r="I341"/>
  <c r="J341" s="1"/>
  <c r="K341" s="1"/>
  <c r="F341"/>
  <c r="G341" s="1"/>
  <c r="H341" s="1"/>
  <c r="I340"/>
  <c r="J340" s="1"/>
  <c r="K340" s="1"/>
  <c r="F340"/>
  <c r="G340" s="1"/>
  <c r="H340" s="1"/>
  <c r="I339"/>
  <c r="J339" s="1"/>
  <c r="K339" s="1"/>
  <c r="F339"/>
  <c r="G339" s="1"/>
  <c r="H339" s="1"/>
  <c r="I338"/>
  <c r="J338" s="1"/>
  <c r="K338" s="1"/>
  <c r="F338"/>
  <c r="G338" s="1"/>
  <c r="H338" s="1"/>
  <c r="I337"/>
  <c r="J337" s="1"/>
  <c r="K337" s="1"/>
  <c r="F337"/>
  <c r="G337" s="1"/>
  <c r="H337" s="1"/>
  <c r="I336"/>
  <c r="J336" s="1"/>
  <c r="K336" s="1"/>
  <c r="F336"/>
  <c r="G336" s="1"/>
  <c r="H336" s="1"/>
  <c r="I335"/>
  <c r="J335" s="1"/>
  <c r="K335" s="1"/>
  <c r="F335"/>
  <c r="G335" s="1"/>
  <c r="H335" s="1"/>
  <c r="I334"/>
  <c r="J334" s="1"/>
  <c r="K334" s="1"/>
  <c r="F334"/>
  <c r="G334" s="1"/>
  <c r="H334" s="1"/>
  <c r="I333"/>
  <c r="J333" s="1"/>
  <c r="K333" s="1"/>
  <c r="F333"/>
  <c r="G333" s="1"/>
  <c r="H333" s="1"/>
  <c r="I332"/>
  <c r="J332" s="1"/>
  <c r="K332" s="1"/>
  <c r="F332"/>
  <c r="G332" s="1"/>
  <c r="H332" s="1"/>
  <c r="I331"/>
  <c r="J331" s="1"/>
  <c r="K331" s="1"/>
  <c r="F331"/>
  <c r="G331" s="1"/>
  <c r="H331" s="1"/>
  <c r="I330"/>
  <c r="J330" s="1"/>
  <c r="K330" s="1"/>
  <c r="F330"/>
  <c r="G330" s="1"/>
  <c r="H330" s="1"/>
  <c r="I329"/>
  <c r="J329" s="1"/>
  <c r="K329" s="1"/>
  <c r="F329"/>
  <c r="G329" s="1"/>
  <c r="H329" s="1"/>
  <c r="I328"/>
  <c r="J328" s="1"/>
  <c r="K328" s="1"/>
  <c r="F328"/>
  <c r="G328" s="1"/>
  <c r="H328" s="1"/>
  <c r="I327"/>
  <c r="J327" s="1"/>
  <c r="K327" s="1"/>
  <c r="F327"/>
  <c r="G327" s="1"/>
  <c r="H327" s="1"/>
  <c r="I326"/>
  <c r="J326" s="1"/>
  <c r="K326" s="1"/>
  <c r="F326"/>
  <c r="G326" s="1"/>
  <c r="H326" s="1"/>
  <c r="I325"/>
  <c r="J325" s="1"/>
  <c r="K325" s="1"/>
  <c r="F325"/>
  <c r="G325" s="1"/>
  <c r="H325" s="1"/>
  <c r="I324"/>
  <c r="J324" s="1"/>
  <c r="K324" s="1"/>
  <c r="F324"/>
  <c r="G324" s="1"/>
  <c r="H324" s="1"/>
  <c r="I323"/>
  <c r="J323" s="1"/>
  <c r="K323" s="1"/>
  <c r="F323"/>
  <c r="G323" s="1"/>
  <c r="H323" s="1"/>
  <c r="I322"/>
  <c r="J322" s="1"/>
  <c r="K322" s="1"/>
  <c r="F322"/>
  <c r="G322" s="1"/>
  <c r="H322" s="1"/>
  <c r="I321"/>
  <c r="J321" s="1"/>
  <c r="K321" s="1"/>
  <c r="F321"/>
  <c r="G321" s="1"/>
  <c r="H321" s="1"/>
  <c r="I320"/>
  <c r="J320" s="1"/>
  <c r="K320" s="1"/>
  <c r="F320"/>
  <c r="G320" s="1"/>
  <c r="H320" s="1"/>
  <c r="I319"/>
  <c r="J319" s="1"/>
  <c r="K319" s="1"/>
  <c r="F319"/>
  <c r="G319" s="1"/>
  <c r="H319" s="1"/>
  <c r="I318"/>
  <c r="J318" s="1"/>
  <c r="K318" s="1"/>
  <c r="F318"/>
  <c r="G318" s="1"/>
  <c r="H318" s="1"/>
  <c r="I317"/>
  <c r="J317" s="1"/>
  <c r="K317" s="1"/>
  <c r="F317"/>
  <c r="G317" s="1"/>
  <c r="H317" s="1"/>
  <c r="I316"/>
  <c r="J316" s="1"/>
  <c r="K316" s="1"/>
  <c r="F316"/>
  <c r="G316" s="1"/>
  <c r="H316" s="1"/>
  <c r="I315"/>
  <c r="J315" s="1"/>
  <c r="K315" s="1"/>
  <c r="F315"/>
  <c r="G315" s="1"/>
  <c r="H315" s="1"/>
  <c r="I314"/>
  <c r="J314" s="1"/>
  <c r="K314" s="1"/>
  <c r="F314"/>
  <c r="G314" s="1"/>
  <c r="H314" s="1"/>
  <c r="I313"/>
  <c r="J313" s="1"/>
  <c r="K313" s="1"/>
  <c r="F313"/>
  <c r="G313" s="1"/>
  <c r="H313" s="1"/>
  <c r="I312"/>
  <c r="J312" s="1"/>
  <c r="K312" s="1"/>
  <c r="F312"/>
  <c r="G312" s="1"/>
  <c r="H312" s="1"/>
  <c r="I311"/>
  <c r="J311" s="1"/>
  <c r="K311" s="1"/>
  <c r="F311"/>
  <c r="G311" s="1"/>
  <c r="H311" s="1"/>
  <c r="I310"/>
  <c r="J310" s="1"/>
  <c r="K310" s="1"/>
  <c r="F310"/>
  <c r="G310" s="1"/>
  <c r="H310" s="1"/>
  <c r="I309"/>
  <c r="J309" s="1"/>
  <c r="K309" s="1"/>
  <c r="F309"/>
  <c r="G309" s="1"/>
  <c r="H309" s="1"/>
  <c r="I308"/>
  <c r="J308" s="1"/>
  <c r="K308" s="1"/>
  <c r="F308"/>
  <c r="G308" s="1"/>
  <c r="H308" s="1"/>
  <c r="I307"/>
  <c r="J307" s="1"/>
  <c r="K307" s="1"/>
  <c r="F307"/>
  <c r="G307" s="1"/>
  <c r="H307" s="1"/>
  <c r="I306"/>
  <c r="J306" s="1"/>
  <c r="K306" s="1"/>
  <c r="G306"/>
  <c r="H306" s="1"/>
  <c r="F306"/>
  <c r="I305"/>
  <c r="J305" s="1"/>
  <c r="K305" s="1"/>
  <c r="F305"/>
  <c r="G305" s="1"/>
  <c r="H305" s="1"/>
  <c r="I304"/>
  <c r="J304" s="1"/>
  <c r="K304" s="1"/>
  <c r="F304"/>
  <c r="G304" s="1"/>
  <c r="H304" s="1"/>
  <c r="I303"/>
  <c r="J303" s="1"/>
  <c r="K303" s="1"/>
  <c r="F303"/>
  <c r="G303" s="1"/>
  <c r="H303" s="1"/>
  <c r="I302"/>
  <c r="J302" s="1"/>
  <c r="K302" s="1"/>
  <c r="F302"/>
  <c r="G302" s="1"/>
  <c r="H302" s="1"/>
  <c r="I301"/>
  <c r="J301" s="1"/>
  <c r="K301" s="1"/>
  <c r="F301"/>
  <c r="G301" s="1"/>
  <c r="H301" s="1"/>
  <c r="I300"/>
  <c r="J300" s="1"/>
  <c r="K300" s="1"/>
  <c r="F300"/>
  <c r="G300" s="1"/>
  <c r="H300" s="1"/>
  <c r="I299"/>
  <c r="J299" s="1"/>
  <c r="K299" s="1"/>
  <c r="F299"/>
  <c r="G299" s="1"/>
  <c r="H299" s="1"/>
  <c r="I298"/>
  <c r="J298" s="1"/>
  <c r="K298" s="1"/>
  <c r="F298"/>
  <c r="G298" s="1"/>
  <c r="H298" s="1"/>
  <c r="I297"/>
  <c r="J297" s="1"/>
  <c r="K297" s="1"/>
  <c r="F297"/>
  <c r="G297" s="1"/>
  <c r="H297" s="1"/>
  <c r="I296"/>
  <c r="J296" s="1"/>
  <c r="K296" s="1"/>
  <c r="F296"/>
  <c r="G296" s="1"/>
  <c r="H296" s="1"/>
  <c r="I295"/>
  <c r="J295" s="1"/>
  <c r="K295" s="1"/>
  <c r="F295"/>
  <c r="G295" s="1"/>
  <c r="H295" s="1"/>
  <c r="I294"/>
  <c r="J294" s="1"/>
  <c r="K294" s="1"/>
  <c r="F294"/>
  <c r="G294" s="1"/>
  <c r="H294" s="1"/>
  <c r="I293"/>
  <c r="J293" s="1"/>
  <c r="K293" s="1"/>
  <c r="F293"/>
  <c r="G293" s="1"/>
  <c r="H293" s="1"/>
  <c r="I292"/>
  <c r="J292" s="1"/>
  <c r="K292" s="1"/>
  <c r="F292"/>
  <c r="G292" s="1"/>
  <c r="H292" s="1"/>
  <c r="I291"/>
  <c r="J291" s="1"/>
  <c r="K291" s="1"/>
  <c r="F291"/>
  <c r="G291" s="1"/>
  <c r="H291" s="1"/>
  <c r="I290"/>
  <c r="J290" s="1"/>
  <c r="K290" s="1"/>
  <c r="F290"/>
  <c r="G290" s="1"/>
  <c r="H290" s="1"/>
  <c r="I289"/>
  <c r="J289" s="1"/>
  <c r="K289" s="1"/>
  <c r="F289"/>
  <c r="G289" s="1"/>
  <c r="H289" s="1"/>
  <c r="I288"/>
  <c r="J288" s="1"/>
  <c r="K288" s="1"/>
  <c r="F288"/>
  <c r="G288" s="1"/>
  <c r="H288" s="1"/>
  <c r="I287"/>
  <c r="J287" s="1"/>
  <c r="K287" s="1"/>
  <c r="F287"/>
  <c r="G287" s="1"/>
  <c r="H287" s="1"/>
  <c r="I286"/>
  <c r="J286" s="1"/>
  <c r="K286" s="1"/>
  <c r="F286"/>
  <c r="G286" s="1"/>
  <c r="H286" s="1"/>
  <c r="I285"/>
  <c r="J285" s="1"/>
  <c r="K285" s="1"/>
  <c r="F285"/>
  <c r="G285" s="1"/>
  <c r="H285" s="1"/>
  <c r="I284"/>
  <c r="J284" s="1"/>
  <c r="K284" s="1"/>
  <c r="F284"/>
  <c r="G284" s="1"/>
  <c r="H284" s="1"/>
  <c r="I283"/>
  <c r="J283" s="1"/>
  <c r="K283" s="1"/>
  <c r="F283"/>
  <c r="G283" s="1"/>
  <c r="H283" s="1"/>
  <c r="I282"/>
  <c r="J282" s="1"/>
  <c r="K282" s="1"/>
  <c r="F282"/>
  <c r="G282" s="1"/>
  <c r="H282" s="1"/>
  <c r="I281"/>
  <c r="J281" s="1"/>
  <c r="K281" s="1"/>
  <c r="F281"/>
  <c r="G281" s="1"/>
  <c r="H281" s="1"/>
  <c r="I280"/>
  <c r="J280" s="1"/>
  <c r="K280" s="1"/>
  <c r="F280"/>
  <c r="G280" s="1"/>
  <c r="H280" s="1"/>
  <c r="I279"/>
  <c r="J279" s="1"/>
  <c r="K279" s="1"/>
  <c r="F279"/>
  <c r="G279" s="1"/>
  <c r="H279" s="1"/>
  <c r="I278"/>
  <c r="J278" s="1"/>
  <c r="K278" s="1"/>
  <c r="F278"/>
  <c r="G278" s="1"/>
  <c r="H278" s="1"/>
  <c r="I277"/>
  <c r="J277" s="1"/>
  <c r="K277" s="1"/>
  <c r="F277"/>
  <c r="G277" s="1"/>
  <c r="H277" s="1"/>
  <c r="I276"/>
  <c r="J276" s="1"/>
  <c r="K276" s="1"/>
  <c r="F276"/>
  <c r="G276" s="1"/>
  <c r="H276" s="1"/>
  <c r="I275"/>
  <c r="J275" s="1"/>
  <c r="K275" s="1"/>
  <c r="F275"/>
  <c r="G275" s="1"/>
  <c r="H275" s="1"/>
  <c r="I274"/>
  <c r="J274" s="1"/>
  <c r="K274" s="1"/>
  <c r="F274"/>
  <c r="G274" s="1"/>
  <c r="H274" s="1"/>
  <c r="I273"/>
  <c r="J273" s="1"/>
  <c r="K273" s="1"/>
  <c r="F273"/>
  <c r="G273" s="1"/>
  <c r="H273" s="1"/>
  <c r="I272"/>
  <c r="J272" s="1"/>
  <c r="K272" s="1"/>
  <c r="F272"/>
  <c r="G272" s="1"/>
  <c r="H272" s="1"/>
  <c r="I271"/>
  <c r="J271" s="1"/>
  <c r="K271" s="1"/>
  <c r="F271"/>
  <c r="G271" s="1"/>
  <c r="H271" s="1"/>
  <c r="I270"/>
  <c r="J270" s="1"/>
  <c r="K270" s="1"/>
  <c r="F270"/>
  <c r="G270" s="1"/>
  <c r="H270" s="1"/>
  <c r="I269"/>
  <c r="J269" s="1"/>
  <c r="K269" s="1"/>
  <c r="F269"/>
  <c r="G269" s="1"/>
  <c r="H269" s="1"/>
  <c r="I258"/>
  <c r="J258" s="1"/>
  <c r="K258" s="1"/>
  <c r="I257"/>
  <c r="J257" s="1"/>
  <c r="K257" s="1"/>
  <c r="I256"/>
  <c r="J256" s="1"/>
  <c r="K256" s="1"/>
  <c r="I255"/>
  <c r="J255" s="1"/>
  <c r="K255" s="1"/>
  <c r="I254"/>
  <c r="J254" s="1"/>
  <c r="K254" s="1"/>
  <c r="I253"/>
  <c r="J253" s="1"/>
  <c r="K253" s="1"/>
  <c r="I252"/>
  <c r="J252" s="1"/>
  <c r="K252" s="1"/>
  <c r="I251"/>
  <c r="J251" s="1"/>
  <c r="K251" s="1"/>
  <c r="I250"/>
  <c r="J250" s="1"/>
  <c r="K250" s="1"/>
  <c r="I249"/>
  <c r="J249" s="1"/>
  <c r="K249" s="1"/>
  <c r="I248"/>
  <c r="J248" s="1"/>
  <c r="K248" s="1"/>
  <c r="I247"/>
  <c r="J247" s="1"/>
  <c r="K247" s="1"/>
  <c r="I246"/>
  <c r="J246" s="1"/>
  <c r="K246" s="1"/>
  <c r="I245"/>
  <c r="J245" s="1"/>
  <c r="K245" s="1"/>
  <c r="I244"/>
  <c r="J244" s="1"/>
  <c r="K244" s="1"/>
  <c r="I243"/>
  <c r="J243" s="1"/>
  <c r="K243" s="1"/>
  <c r="I242"/>
  <c r="J242" s="1"/>
  <c r="K242" s="1"/>
  <c r="I241"/>
  <c r="J241" s="1"/>
  <c r="K241" s="1"/>
  <c r="I240"/>
  <c r="J240" s="1"/>
  <c r="K240" s="1"/>
  <c r="I239"/>
  <c r="J239" s="1"/>
  <c r="K239" s="1"/>
  <c r="I238"/>
  <c r="J238" s="1"/>
  <c r="K238" s="1"/>
  <c r="I237"/>
  <c r="J237" s="1"/>
  <c r="K237" s="1"/>
  <c r="I236"/>
  <c r="J236" s="1"/>
  <c r="K236" s="1"/>
  <c r="I235"/>
  <c r="J235" s="1"/>
  <c r="K235" s="1"/>
  <c r="I234"/>
  <c r="J234" s="1"/>
  <c r="K234" s="1"/>
  <c r="I233"/>
  <c r="J233" s="1"/>
  <c r="K233" s="1"/>
  <c r="I232"/>
  <c r="J232" s="1"/>
  <c r="K232" s="1"/>
  <c r="I231"/>
  <c r="J231" s="1"/>
  <c r="K231" s="1"/>
  <c r="I230"/>
  <c r="J230" s="1"/>
  <c r="K230" s="1"/>
  <c r="I229"/>
  <c r="J229" s="1"/>
  <c r="K229" s="1"/>
  <c r="I228"/>
  <c r="J228" s="1"/>
  <c r="K228" s="1"/>
  <c r="I227"/>
  <c r="J227" s="1"/>
  <c r="K227" s="1"/>
  <c r="I226"/>
  <c r="J226" s="1"/>
  <c r="K226" s="1"/>
  <c r="I225"/>
  <c r="J225" s="1"/>
  <c r="K225" s="1"/>
  <c r="I224"/>
  <c r="J224" s="1"/>
  <c r="K224" s="1"/>
  <c r="I223"/>
  <c r="J223" s="1"/>
  <c r="K223" s="1"/>
  <c r="I222"/>
  <c r="J222" s="1"/>
  <c r="K222" s="1"/>
  <c r="I221"/>
  <c r="J221" s="1"/>
  <c r="K221" s="1"/>
  <c r="I220"/>
  <c r="J220" s="1"/>
  <c r="K220" s="1"/>
  <c r="I219"/>
  <c r="J219" s="1"/>
  <c r="K219" s="1"/>
  <c r="I218"/>
  <c r="J218" s="1"/>
  <c r="K218" s="1"/>
  <c r="I217"/>
  <c r="J217" s="1"/>
  <c r="K217" s="1"/>
  <c r="I216"/>
  <c r="J216" s="1"/>
  <c r="K216" s="1"/>
  <c r="I215"/>
  <c r="J215" s="1"/>
  <c r="K215" s="1"/>
  <c r="I214"/>
  <c r="J214" s="1"/>
  <c r="K214" s="1"/>
  <c r="I213"/>
  <c r="J213" s="1"/>
  <c r="K213" s="1"/>
  <c r="I212"/>
  <c r="J212" s="1"/>
  <c r="K212" s="1"/>
  <c r="I211"/>
  <c r="J211" s="1"/>
  <c r="K211" s="1"/>
  <c r="I210"/>
  <c r="J210" s="1"/>
  <c r="K210" s="1"/>
  <c r="I209"/>
  <c r="J209" s="1"/>
  <c r="K209" s="1"/>
  <c r="I208"/>
  <c r="J208" s="1"/>
  <c r="K208" s="1"/>
  <c r="I207"/>
  <c r="J207" s="1"/>
  <c r="K207" s="1"/>
  <c r="I206"/>
  <c r="J206" s="1"/>
  <c r="K206" s="1"/>
  <c r="I205"/>
  <c r="J205" s="1"/>
  <c r="K205" s="1"/>
  <c r="I204"/>
  <c r="J204" s="1"/>
  <c r="K204" s="1"/>
  <c r="I203"/>
  <c r="J203" s="1"/>
  <c r="K203" s="1"/>
  <c r="I202"/>
  <c r="J202" s="1"/>
  <c r="K202" s="1"/>
  <c r="I201"/>
  <c r="J201" s="1"/>
  <c r="K201" s="1"/>
  <c r="I200"/>
  <c r="J200" s="1"/>
  <c r="K200" s="1"/>
  <c r="I199"/>
  <c r="J199" s="1"/>
  <c r="K199" s="1"/>
  <c r="I198"/>
  <c r="J198" s="1"/>
  <c r="K198" s="1"/>
  <c r="I197"/>
  <c r="J197" s="1"/>
  <c r="K197" s="1"/>
  <c r="I196"/>
  <c r="J196" s="1"/>
  <c r="K196" s="1"/>
  <c r="I195"/>
  <c r="J195" s="1"/>
  <c r="K195" s="1"/>
  <c r="I194"/>
  <c r="J194" s="1"/>
  <c r="K194" s="1"/>
  <c r="I193"/>
  <c r="J193" s="1"/>
  <c r="K193" s="1"/>
  <c r="I192"/>
  <c r="J192" s="1"/>
  <c r="K192" s="1"/>
  <c r="I191"/>
  <c r="J191" s="1"/>
  <c r="K191" s="1"/>
  <c r="I190"/>
  <c r="J190" s="1"/>
  <c r="K190" s="1"/>
  <c r="I189"/>
  <c r="J189" s="1"/>
  <c r="K189" s="1"/>
  <c r="I188"/>
  <c r="J188" s="1"/>
  <c r="K188" s="1"/>
  <c r="I187"/>
  <c r="J187" s="1"/>
  <c r="K187" s="1"/>
  <c r="I186"/>
  <c r="J186" s="1"/>
  <c r="K186" s="1"/>
  <c r="I185"/>
  <c r="J185" s="1"/>
  <c r="K185" s="1"/>
  <c r="I184"/>
  <c r="J184" s="1"/>
  <c r="K184" s="1"/>
  <c r="I183"/>
  <c r="J183" s="1"/>
  <c r="K183" s="1"/>
  <c r="I182"/>
  <c r="J182" s="1"/>
  <c r="K182" s="1"/>
  <c r="I181"/>
  <c r="J181" s="1"/>
  <c r="K181" s="1"/>
  <c r="I180"/>
  <c r="J180" s="1"/>
  <c r="K180" s="1"/>
  <c r="I179"/>
  <c r="J179" s="1"/>
  <c r="K179" s="1"/>
  <c r="I178"/>
  <c r="J178" s="1"/>
  <c r="K178" s="1"/>
  <c r="I177"/>
  <c r="J177" s="1"/>
  <c r="K177" s="1"/>
  <c r="I176"/>
  <c r="J176" s="1"/>
  <c r="K176" s="1"/>
  <c r="I175"/>
  <c r="J175" s="1"/>
  <c r="K175" s="1"/>
  <c r="I174"/>
  <c r="J174" s="1"/>
  <c r="K174" s="1"/>
  <c r="I173"/>
  <c r="J173" s="1"/>
  <c r="K173" s="1"/>
  <c r="I172"/>
  <c r="J172" s="1"/>
  <c r="K172" s="1"/>
  <c r="I171"/>
  <c r="J171" s="1"/>
  <c r="K171" s="1"/>
  <c r="I170"/>
  <c r="J170" s="1"/>
  <c r="K170" s="1"/>
  <c r="I169"/>
  <c r="J169" s="1"/>
  <c r="K169" s="1"/>
  <c r="I168"/>
  <c r="J168" s="1"/>
  <c r="K168" s="1"/>
  <c r="I167"/>
  <c r="J167" s="1"/>
  <c r="K167" s="1"/>
  <c r="I166"/>
  <c r="J166" s="1"/>
  <c r="K166" s="1"/>
  <c r="I165"/>
  <c r="J165" s="1"/>
  <c r="K165" s="1"/>
  <c r="I164"/>
  <c r="J164" s="1"/>
  <c r="K164" s="1"/>
  <c r="I163"/>
  <c r="J163" s="1"/>
  <c r="K163" s="1"/>
  <c r="I162"/>
  <c r="J162" s="1"/>
  <c r="K162" s="1"/>
  <c r="I161"/>
  <c r="J161" s="1"/>
  <c r="K161" s="1"/>
  <c r="I160"/>
  <c r="J160" s="1"/>
  <c r="K160" s="1"/>
  <c r="I159"/>
  <c r="J159" s="1"/>
  <c r="K159" s="1"/>
  <c r="I158"/>
  <c r="J158" s="1"/>
  <c r="K158" s="1"/>
  <c r="I157"/>
  <c r="J157" s="1"/>
  <c r="K157" s="1"/>
  <c r="I156"/>
  <c r="J156" s="1"/>
  <c r="K156" s="1"/>
  <c r="I155"/>
  <c r="J155" s="1"/>
  <c r="K155" s="1"/>
  <c r="I154"/>
  <c r="J154" s="1"/>
  <c r="K154" s="1"/>
  <c r="I153"/>
  <c r="J153" s="1"/>
  <c r="K153" s="1"/>
  <c r="I152"/>
  <c r="J152" s="1"/>
  <c r="K152" s="1"/>
  <c r="I151"/>
  <c r="J151" s="1"/>
  <c r="K151" s="1"/>
  <c r="I150"/>
  <c r="J150" s="1"/>
  <c r="K150" s="1"/>
  <c r="I149"/>
  <c r="J149" s="1"/>
  <c r="K149" s="1"/>
  <c r="I148"/>
  <c r="J148" s="1"/>
  <c r="K148" s="1"/>
  <c r="I147"/>
  <c r="J147" s="1"/>
  <c r="K147" s="1"/>
  <c r="I146"/>
  <c r="J146" s="1"/>
  <c r="K146" s="1"/>
  <c r="I145"/>
  <c r="J145" s="1"/>
  <c r="K145" s="1"/>
  <c r="I144"/>
  <c r="J144" s="1"/>
  <c r="K144" s="1"/>
  <c r="I143"/>
  <c r="J143" s="1"/>
  <c r="K143" s="1"/>
  <c r="I142"/>
  <c r="J142" s="1"/>
  <c r="K142" s="1"/>
  <c r="I141"/>
  <c r="J141" s="1"/>
  <c r="K141" s="1"/>
  <c r="I140"/>
  <c r="J140" s="1"/>
  <c r="K140" s="1"/>
  <c r="I139"/>
  <c r="J139" s="1"/>
  <c r="K139" s="1"/>
  <c r="I138"/>
  <c r="J138" s="1"/>
  <c r="K138" s="1"/>
  <c r="I137"/>
  <c r="J137" s="1"/>
  <c r="K137" s="1"/>
  <c r="I136"/>
  <c r="J136" s="1"/>
  <c r="K136" s="1"/>
  <c r="I135"/>
  <c r="J135" s="1"/>
  <c r="K135" s="1"/>
  <c r="I134"/>
  <c r="J134" s="1"/>
  <c r="K134" s="1"/>
  <c r="I133"/>
  <c r="J133" s="1"/>
  <c r="K133" s="1"/>
  <c r="I132"/>
  <c r="J132" s="1"/>
  <c r="K132" s="1"/>
  <c r="I131"/>
  <c r="J131" s="1"/>
  <c r="K131" s="1"/>
  <c r="I130"/>
  <c r="J130" s="1"/>
  <c r="K130" s="1"/>
  <c r="I129"/>
  <c r="J129" s="1"/>
  <c r="K129" s="1"/>
  <c r="I128"/>
  <c r="J128" s="1"/>
  <c r="K128" s="1"/>
  <c r="I127"/>
  <c r="J127" s="1"/>
  <c r="K127" s="1"/>
  <c r="I126"/>
  <c r="J126" s="1"/>
  <c r="K126" s="1"/>
  <c r="I125"/>
  <c r="J125" s="1"/>
  <c r="K125" s="1"/>
  <c r="I124"/>
  <c r="J124" s="1"/>
  <c r="K124" s="1"/>
  <c r="I123"/>
  <c r="J123" s="1"/>
  <c r="K123" s="1"/>
  <c r="I122"/>
  <c r="J122" s="1"/>
  <c r="K122" s="1"/>
  <c r="I121"/>
  <c r="J121" s="1"/>
  <c r="K121" s="1"/>
  <c r="I120"/>
  <c r="J120" s="1"/>
  <c r="K120" s="1"/>
  <c r="I119"/>
  <c r="J119" s="1"/>
  <c r="K119" s="1"/>
  <c r="I118"/>
  <c r="J118" s="1"/>
  <c r="K118" s="1"/>
  <c r="I117"/>
  <c r="J117" s="1"/>
  <c r="K117" s="1"/>
  <c r="I116"/>
  <c r="J116" s="1"/>
  <c r="K116" s="1"/>
  <c r="I115"/>
  <c r="J115" s="1"/>
  <c r="K115" s="1"/>
  <c r="I114"/>
  <c r="J114" s="1"/>
  <c r="K114" s="1"/>
  <c r="I113"/>
  <c r="J113" s="1"/>
  <c r="K113" s="1"/>
  <c r="I112"/>
  <c r="J112" s="1"/>
  <c r="K112" s="1"/>
  <c r="I111"/>
  <c r="J111" s="1"/>
  <c r="K111" s="1"/>
  <c r="I110"/>
  <c r="J110" s="1"/>
  <c r="K110" s="1"/>
  <c r="I109"/>
  <c r="J109" s="1"/>
  <c r="K109" s="1"/>
  <c r="I108"/>
  <c r="J108" s="1"/>
  <c r="K108" s="1"/>
  <c r="I107"/>
  <c r="J107" s="1"/>
  <c r="K107" s="1"/>
  <c r="I106"/>
  <c r="J106" s="1"/>
  <c r="K106" s="1"/>
  <c r="I105"/>
  <c r="J105" s="1"/>
  <c r="K105" s="1"/>
  <c r="I104"/>
  <c r="J104" s="1"/>
  <c r="K104" s="1"/>
  <c r="I103"/>
  <c r="J103" s="1"/>
  <c r="K103" s="1"/>
  <c r="I102"/>
  <c r="J102" s="1"/>
  <c r="K102" s="1"/>
  <c r="I101"/>
  <c r="J101" s="1"/>
  <c r="K101" s="1"/>
  <c r="I100"/>
  <c r="J100" s="1"/>
  <c r="K100" s="1"/>
  <c r="I99"/>
  <c r="J99" s="1"/>
  <c r="K99" s="1"/>
  <c r="I98"/>
  <c r="J98" s="1"/>
  <c r="K98" s="1"/>
  <c r="I97"/>
  <c r="J97" s="1"/>
  <c r="K97" s="1"/>
  <c r="I96"/>
  <c r="J96" s="1"/>
  <c r="K96" s="1"/>
  <c r="I95"/>
  <c r="J95" s="1"/>
  <c r="K95" s="1"/>
  <c r="I94"/>
  <c r="J94" s="1"/>
  <c r="K94" s="1"/>
  <c r="I93"/>
  <c r="J93" s="1"/>
  <c r="K93" s="1"/>
  <c r="I92"/>
  <c r="J92" s="1"/>
  <c r="K92" s="1"/>
  <c r="I91"/>
  <c r="J91" s="1"/>
  <c r="K91" s="1"/>
  <c r="I90"/>
  <c r="J90" s="1"/>
  <c r="K90" s="1"/>
  <c r="I89"/>
  <c r="J89" s="1"/>
  <c r="K89" s="1"/>
  <c r="I88"/>
  <c r="J88" s="1"/>
  <c r="K88" s="1"/>
  <c r="I87"/>
  <c r="J87" s="1"/>
  <c r="K87" s="1"/>
  <c r="I86"/>
  <c r="J86" s="1"/>
  <c r="K86" s="1"/>
  <c r="I85"/>
  <c r="J85" s="1"/>
  <c r="K85" s="1"/>
  <c r="I84"/>
  <c r="J84" s="1"/>
  <c r="K84" s="1"/>
  <c r="I83"/>
  <c r="J83" s="1"/>
  <c r="K83" s="1"/>
  <c r="I82"/>
  <c r="J82" s="1"/>
  <c r="K82" s="1"/>
  <c r="I81"/>
  <c r="J81" s="1"/>
  <c r="K81" s="1"/>
  <c r="I80"/>
  <c r="J80" s="1"/>
  <c r="K80" s="1"/>
  <c r="I79"/>
  <c r="J79" s="1"/>
  <c r="K79" s="1"/>
  <c r="I78"/>
  <c r="J78" s="1"/>
  <c r="K78" s="1"/>
  <c r="I77"/>
  <c r="J77" s="1"/>
  <c r="K77" s="1"/>
  <c r="I76"/>
  <c r="J76" s="1"/>
  <c r="K76" s="1"/>
  <c r="I75"/>
  <c r="J75" s="1"/>
  <c r="K75" s="1"/>
  <c r="I74"/>
  <c r="J74" s="1"/>
  <c r="K74" s="1"/>
  <c r="I73"/>
  <c r="J73" s="1"/>
  <c r="K73" s="1"/>
  <c r="I72"/>
  <c r="J72" s="1"/>
  <c r="K72" s="1"/>
  <c r="I71"/>
  <c r="J71" s="1"/>
  <c r="K71" s="1"/>
  <c r="I70"/>
  <c r="J70" s="1"/>
  <c r="K70" s="1"/>
  <c r="I69"/>
  <c r="J69" s="1"/>
  <c r="K69" s="1"/>
  <c r="I68"/>
  <c r="J68" s="1"/>
  <c r="K68" s="1"/>
  <c r="I67"/>
  <c r="J67" s="1"/>
  <c r="K67" s="1"/>
  <c r="I66"/>
  <c r="J66" s="1"/>
  <c r="K66" s="1"/>
  <c r="I65"/>
  <c r="J65" s="1"/>
  <c r="K65" s="1"/>
  <c r="I64"/>
  <c r="J64" s="1"/>
  <c r="K64" s="1"/>
  <c r="I63"/>
  <c r="J63" s="1"/>
  <c r="K63" s="1"/>
  <c r="I62"/>
  <c r="J62" s="1"/>
  <c r="K62" s="1"/>
  <c r="I61"/>
  <c r="J61" s="1"/>
  <c r="K61" s="1"/>
  <c r="I60"/>
  <c r="J60" s="1"/>
  <c r="K60" s="1"/>
  <c r="I59"/>
  <c r="J59" s="1"/>
  <c r="K59" s="1"/>
  <c r="I58"/>
  <c r="J58" s="1"/>
  <c r="K58" s="1"/>
  <c r="I57"/>
  <c r="J57" s="1"/>
  <c r="K57" s="1"/>
  <c r="I56"/>
  <c r="J56" s="1"/>
  <c r="K56" s="1"/>
  <c r="I55"/>
  <c r="J55" s="1"/>
  <c r="K55" s="1"/>
  <c r="I54"/>
  <c r="J54" s="1"/>
  <c r="K54" s="1"/>
  <c r="I53"/>
  <c r="J53" s="1"/>
  <c r="K53" s="1"/>
  <c r="I41"/>
  <c r="J41" s="1"/>
  <c r="K41" s="1"/>
  <c r="I40"/>
  <c r="J40" s="1"/>
  <c r="K40" s="1"/>
  <c r="I39"/>
  <c r="J39" s="1"/>
  <c r="K39" s="1"/>
  <c r="I38"/>
  <c r="J38" s="1"/>
  <c r="K38" s="1"/>
  <c r="I37"/>
  <c r="J37" s="1"/>
  <c r="K37" s="1"/>
  <c r="I36"/>
  <c r="J36" s="1"/>
  <c r="K36" s="1"/>
  <c r="I35"/>
  <c r="J35" s="1"/>
  <c r="K35" s="1"/>
  <c r="I34"/>
  <c r="J34" s="1"/>
  <c r="K34" s="1"/>
  <c r="I33"/>
  <c r="J33" s="1"/>
  <c r="K33" s="1"/>
  <c r="I32"/>
  <c r="J32" s="1"/>
  <c r="K32" s="1"/>
  <c r="I31"/>
  <c r="J31" s="1"/>
  <c r="K31" s="1"/>
  <c r="I30"/>
  <c r="J30" s="1"/>
  <c r="K30" s="1"/>
  <c r="I29"/>
  <c r="J29" s="1"/>
  <c r="K29" s="1"/>
  <c r="I28"/>
  <c r="J28" s="1"/>
  <c r="K28" s="1"/>
  <c r="I27"/>
  <c r="J27" s="1"/>
  <c r="K27" s="1"/>
  <c r="I26"/>
  <c r="J26" s="1"/>
  <c r="K26" s="1"/>
  <c r="I25"/>
  <c r="J25" s="1"/>
  <c r="K25" s="1"/>
  <c r="I24"/>
  <c r="J24" s="1"/>
  <c r="K24" s="1"/>
  <c r="I23"/>
  <c r="J23" s="1"/>
  <c r="K23" s="1"/>
  <c r="I22"/>
  <c r="J22" s="1"/>
  <c r="K22" s="1"/>
  <c r="I21"/>
  <c r="J21" s="1"/>
  <c r="K21" s="1"/>
  <c r="I20"/>
  <c r="J20" s="1"/>
  <c r="K20" s="1"/>
  <c r="I19"/>
  <c r="J19" s="1"/>
  <c r="K19" s="1"/>
  <c r="I18"/>
  <c r="J18" s="1"/>
  <c r="K18" s="1"/>
  <c r="I17"/>
  <c r="J17" s="1"/>
  <c r="K17" s="1"/>
  <c r="I16"/>
  <c r="J16" s="1"/>
  <c r="K16" s="1"/>
  <c r="I15"/>
  <c r="J15" s="1"/>
  <c r="K15" s="1"/>
  <c r="I14"/>
  <c r="J14" s="1"/>
  <c r="K14" s="1"/>
  <c r="I13"/>
  <c r="J13" s="1"/>
  <c r="K13" s="1"/>
  <c r="I12"/>
  <c r="J12" s="1"/>
  <c r="K12" s="1"/>
  <c r="I11"/>
  <c r="J11" s="1"/>
  <c r="K11" s="1"/>
  <c r="I10"/>
  <c r="J10" s="1"/>
  <c r="K10" s="1"/>
  <c r="I9"/>
  <c r="J9" s="1"/>
  <c r="K9" s="1"/>
  <c r="I8"/>
  <c r="J8" s="1"/>
  <c r="K8" s="1"/>
  <c r="I7"/>
  <c r="J7" s="1"/>
  <c r="K7" s="1"/>
  <c r="I6"/>
  <c r="J6" s="1"/>
  <c r="K6" s="1"/>
  <c r="I5"/>
  <c r="J5" s="1"/>
  <c r="K5" s="1"/>
  <c r="I4"/>
  <c r="J4" s="1"/>
  <c r="K4" s="1"/>
  <c r="I3"/>
  <c r="J3" s="1"/>
  <c r="K3" s="1"/>
  <c r="F395"/>
  <c r="F394"/>
  <c r="F393"/>
  <c r="F392"/>
  <c r="F391"/>
  <c r="F258"/>
  <c r="G258" s="1"/>
  <c r="H258" s="1"/>
  <c r="L258" s="1"/>
  <c r="M258" s="1"/>
  <c r="F257"/>
  <c r="G257" s="1"/>
  <c r="H257" s="1"/>
  <c r="F256"/>
  <c r="G256" s="1"/>
  <c r="H256" s="1"/>
  <c r="F255"/>
  <c r="G255" s="1"/>
  <c r="H255" s="1"/>
  <c r="L255" s="1"/>
  <c r="M255" s="1"/>
  <c r="F254"/>
  <c r="G254" s="1"/>
  <c r="H254" s="1"/>
  <c r="F253"/>
  <c r="G253" s="1"/>
  <c r="H253" s="1"/>
  <c r="L253" s="1"/>
  <c r="M253" s="1"/>
  <c r="F252"/>
  <c r="G252" s="1"/>
  <c r="H252" s="1"/>
  <c r="F251"/>
  <c r="G251" s="1"/>
  <c r="H251" s="1"/>
  <c r="F250"/>
  <c r="G250" s="1"/>
  <c r="H250" s="1"/>
  <c r="L250" s="1"/>
  <c r="M250" s="1"/>
  <c r="F249"/>
  <c r="G249" s="1"/>
  <c r="H249" s="1"/>
  <c r="F248"/>
  <c r="G248" s="1"/>
  <c r="H248" s="1"/>
  <c r="F247"/>
  <c r="G247" s="1"/>
  <c r="H247" s="1"/>
  <c r="F246"/>
  <c r="G246" s="1"/>
  <c r="H246" s="1"/>
  <c r="F245"/>
  <c r="G245" s="1"/>
  <c r="H245" s="1"/>
  <c r="F244"/>
  <c r="G244" s="1"/>
  <c r="H244" s="1"/>
  <c r="L244" s="1"/>
  <c r="M244" s="1"/>
  <c r="F243"/>
  <c r="G243" s="1"/>
  <c r="H243" s="1"/>
  <c r="F242"/>
  <c r="G242" s="1"/>
  <c r="H242" s="1"/>
  <c r="L242" s="1"/>
  <c r="M242" s="1"/>
  <c r="F241"/>
  <c r="G241" s="1"/>
  <c r="H241" s="1"/>
  <c r="F240"/>
  <c r="G240" s="1"/>
  <c r="H240" s="1"/>
  <c r="F239"/>
  <c r="G239" s="1"/>
  <c r="H239" s="1"/>
  <c r="L239" s="1"/>
  <c r="M239" s="1"/>
  <c r="F238"/>
  <c r="G238" s="1"/>
  <c r="H238" s="1"/>
  <c r="F237"/>
  <c r="G237" s="1"/>
  <c r="H237" s="1"/>
  <c r="L237" s="1"/>
  <c r="M237" s="1"/>
  <c r="F236"/>
  <c r="G236" s="1"/>
  <c r="H236" s="1"/>
  <c r="F235"/>
  <c r="G235" s="1"/>
  <c r="H235" s="1"/>
  <c r="F234"/>
  <c r="G234" s="1"/>
  <c r="H234" s="1"/>
  <c r="L234" s="1"/>
  <c r="M234" s="1"/>
  <c r="F233"/>
  <c r="G233" s="1"/>
  <c r="H233" s="1"/>
  <c r="F232"/>
  <c r="G232" s="1"/>
  <c r="H232" s="1"/>
  <c r="F231"/>
  <c r="G231" s="1"/>
  <c r="H231" s="1"/>
  <c r="F230"/>
  <c r="G230" s="1"/>
  <c r="H230" s="1"/>
  <c r="F229"/>
  <c r="G229" s="1"/>
  <c r="H229" s="1"/>
  <c r="F228"/>
  <c r="G228" s="1"/>
  <c r="H228" s="1"/>
  <c r="L228" s="1"/>
  <c r="M228" s="1"/>
  <c r="F227"/>
  <c r="G227" s="1"/>
  <c r="H227" s="1"/>
  <c r="F226"/>
  <c r="G226" s="1"/>
  <c r="H226" s="1"/>
  <c r="L226" s="1"/>
  <c r="M226" s="1"/>
  <c r="F225"/>
  <c r="G225" s="1"/>
  <c r="H225" s="1"/>
  <c r="F224"/>
  <c r="G224" s="1"/>
  <c r="H224" s="1"/>
  <c r="F223"/>
  <c r="G223" s="1"/>
  <c r="H223" s="1"/>
  <c r="L223" s="1"/>
  <c r="M223" s="1"/>
  <c r="F222"/>
  <c r="G222" s="1"/>
  <c r="H222" s="1"/>
  <c r="F221"/>
  <c r="G221" s="1"/>
  <c r="H221" s="1"/>
  <c r="L221" s="1"/>
  <c r="M221" s="1"/>
  <c r="F220"/>
  <c r="G220" s="1"/>
  <c r="H220" s="1"/>
  <c r="F219"/>
  <c r="G219" s="1"/>
  <c r="H219" s="1"/>
  <c r="F218"/>
  <c r="G218" s="1"/>
  <c r="H218" s="1"/>
  <c r="L218" s="1"/>
  <c r="M218" s="1"/>
  <c r="F217"/>
  <c r="G217" s="1"/>
  <c r="H217" s="1"/>
  <c r="F216"/>
  <c r="G216" s="1"/>
  <c r="H216" s="1"/>
  <c r="F215"/>
  <c r="G215" s="1"/>
  <c r="H215" s="1"/>
  <c r="F214"/>
  <c r="G214" s="1"/>
  <c r="H214" s="1"/>
  <c r="F213"/>
  <c r="G213" s="1"/>
  <c r="H213" s="1"/>
  <c r="F212"/>
  <c r="G212" s="1"/>
  <c r="H212" s="1"/>
  <c r="L212" s="1"/>
  <c r="M212" s="1"/>
  <c r="F211"/>
  <c r="G211" s="1"/>
  <c r="H211" s="1"/>
  <c r="F210"/>
  <c r="G210" s="1"/>
  <c r="H210" s="1"/>
  <c r="L210" s="1"/>
  <c r="M210" s="1"/>
  <c r="F209"/>
  <c r="G209" s="1"/>
  <c r="H209" s="1"/>
  <c r="F208"/>
  <c r="G208" s="1"/>
  <c r="H208" s="1"/>
  <c r="F207"/>
  <c r="G207" s="1"/>
  <c r="H207" s="1"/>
  <c r="L207" s="1"/>
  <c r="M207" s="1"/>
  <c r="F206"/>
  <c r="G206" s="1"/>
  <c r="H206" s="1"/>
  <c r="F205"/>
  <c r="G205" s="1"/>
  <c r="H205" s="1"/>
  <c r="L205" s="1"/>
  <c r="M205" s="1"/>
  <c r="F204"/>
  <c r="G204" s="1"/>
  <c r="H204" s="1"/>
  <c r="F203"/>
  <c r="G203" s="1"/>
  <c r="H203" s="1"/>
  <c r="F202"/>
  <c r="G202" s="1"/>
  <c r="H202" s="1"/>
  <c r="L202" s="1"/>
  <c r="M202" s="1"/>
  <c r="F201"/>
  <c r="G201" s="1"/>
  <c r="H201" s="1"/>
  <c r="F200"/>
  <c r="G200" s="1"/>
  <c r="H200" s="1"/>
  <c r="F199"/>
  <c r="G199" s="1"/>
  <c r="H199" s="1"/>
  <c r="F198"/>
  <c r="G198" s="1"/>
  <c r="H198" s="1"/>
  <c r="F197"/>
  <c r="G197" s="1"/>
  <c r="H197" s="1"/>
  <c r="F196"/>
  <c r="G196" s="1"/>
  <c r="H196" s="1"/>
  <c r="L196" s="1"/>
  <c r="M196" s="1"/>
  <c r="F195"/>
  <c r="G195" s="1"/>
  <c r="H195" s="1"/>
  <c r="F194"/>
  <c r="G194" s="1"/>
  <c r="H194" s="1"/>
  <c r="L194" s="1"/>
  <c r="M194" s="1"/>
  <c r="F193"/>
  <c r="G193" s="1"/>
  <c r="H193" s="1"/>
  <c r="F192"/>
  <c r="G192" s="1"/>
  <c r="H192" s="1"/>
  <c r="F191"/>
  <c r="G191" s="1"/>
  <c r="H191" s="1"/>
  <c r="L191" s="1"/>
  <c r="M191" s="1"/>
  <c r="F190"/>
  <c r="G190" s="1"/>
  <c r="H190" s="1"/>
  <c r="F189"/>
  <c r="G189" s="1"/>
  <c r="H189" s="1"/>
  <c r="L189" s="1"/>
  <c r="M189" s="1"/>
  <c r="F188"/>
  <c r="G188" s="1"/>
  <c r="H188" s="1"/>
  <c r="F187"/>
  <c r="G187" s="1"/>
  <c r="H187" s="1"/>
  <c r="F186"/>
  <c r="G186" s="1"/>
  <c r="H186" s="1"/>
  <c r="L186" s="1"/>
  <c r="M186" s="1"/>
  <c r="F185"/>
  <c r="G185" s="1"/>
  <c r="H185" s="1"/>
  <c r="F184"/>
  <c r="G184" s="1"/>
  <c r="H184" s="1"/>
  <c r="F183"/>
  <c r="G183" s="1"/>
  <c r="H183" s="1"/>
  <c r="F182"/>
  <c r="G182" s="1"/>
  <c r="H182" s="1"/>
  <c r="F181"/>
  <c r="G181" s="1"/>
  <c r="H181" s="1"/>
  <c r="F180"/>
  <c r="G180" s="1"/>
  <c r="H180" s="1"/>
  <c r="L180" s="1"/>
  <c r="M180" s="1"/>
  <c r="F179"/>
  <c r="G179" s="1"/>
  <c r="H179" s="1"/>
  <c r="F178"/>
  <c r="G178" s="1"/>
  <c r="H178" s="1"/>
  <c r="F177"/>
  <c r="G177" s="1"/>
  <c r="H177" s="1"/>
  <c r="F176"/>
  <c r="G176" s="1"/>
  <c r="H176" s="1"/>
  <c r="F175"/>
  <c r="G175" s="1"/>
  <c r="H175" s="1"/>
  <c r="L175" s="1"/>
  <c r="M175" s="1"/>
  <c r="F174"/>
  <c r="G174" s="1"/>
  <c r="H174" s="1"/>
  <c r="F173"/>
  <c r="G173" s="1"/>
  <c r="H173" s="1"/>
  <c r="F172"/>
  <c r="G172" s="1"/>
  <c r="H172" s="1"/>
  <c r="F171"/>
  <c r="G171" s="1"/>
  <c r="H171" s="1"/>
  <c r="F170"/>
  <c r="G170" s="1"/>
  <c r="H170" s="1"/>
  <c r="L170" s="1"/>
  <c r="M170" s="1"/>
  <c r="F169"/>
  <c r="G169" s="1"/>
  <c r="H169" s="1"/>
  <c r="F168"/>
  <c r="G168" s="1"/>
  <c r="H168" s="1"/>
  <c r="F167"/>
  <c r="G167" s="1"/>
  <c r="H167" s="1"/>
  <c r="F166"/>
  <c r="G166" s="1"/>
  <c r="H166" s="1"/>
  <c r="F165"/>
  <c r="G165" s="1"/>
  <c r="H165" s="1"/>
  <c r="F164"/>
  <c r="G164" s="1"/>
  <c r="H164" s="1"/>
  <c r="L164" s="1"/>
  <c r="M164" s="1"/>
  <c r="F163"/>
  <c r="G163" s="1"/>
  <c r="H163" s="1"/>
  <c r="F162"/>
  <c r="G162" s="1"/>
  <c r="H162" s="1"/>
  <c r="F161"/>
  <c r="G161" s="1"/>
  <c r="H161" s="1"/>
  <c r="F160"/>
  <c r="G160" s="1"/>
  <c r="H160" s="1"/>
  <c r="F159"/>
  <c r="G159" s="1"/>
  <c r="H159" s="1"/>
  <c r="L159" s="1"/>
  <c r="M159" s="1"/>
  <c r="F158"/>
  <c r="G158" s="1"/>
  <c r="H158" s="1"/>
  <c r="F157"/>
  <c r="G157" s="1"/>
  <c r="H157" s="1"/>
  <c r="F156"/>
  <c r="G156" s="1"/>
  <c r="H156" s="1"/>
  <c r="F155"/>
  <c r="G155" s="1"/>
  <c r="H155" s="1"/>
  <c r="F154"/>
  <c r="G154" s="1"/>
  <c r="H154" s="1"/>
  <c r="F153"/>
  <c r="G153" s="1"/>
  <c r="H153" s="1"/>
  <c r="F152"/>
  <c r="G152" s="1"/>
  <c r="H152" s="1"/>
  <c r="F151"/>
  <c r="G151" s="1"/>
  <c r="H151" s="1"/>
  <c r="F150"/>
  <c r="G150" s="1"/>
  <c r="H150" s="1"/>
  <c r="F149"/>
  <c r="G149" s="1"/>
  <c r="H149" s="1"/>
  <c r="F148"/>
  <c r="G148" s="1"/>
  <c r="H148" s="1"/>
  <c r="L148" s="1"/>
  <c r="M148" s="1"/>
  <c r="F147"/>
  <c r="G147" s="1"/>
  <c r="H147" s="1"/>
  <c r="F146"/>
  <c r="G146" s="1"/>
  <c r="H146" s="1"/>
  <c r="L146" s="1"/>
  <c r="M146" s="1"/>
  <c r="F145"/>
  <c r="G145" s="1"/>
  <c r="H145" s="1"/>
  <c r="F144"/>
  <c r="G144" s="1"/>
  <c r="H144" s="1"/>
  <c r="F143"/>
  <c r="G143" s="1"/>
  <c r="H143" s="1"/>
  <c r="L143" s="1"/>
  <c r="M143" s="1"/>
  <c r="F142"/>
  <c r="G142" s="1"/>
  <c r="H142" s="1"/>
  <c r="F141"/>
  <c r="G141" s="1"/>
  <c r="H141" s="1"/>
  <c r="L141" s="1"/>
  <c r="M141" s="1"/>
  <c r="F140"/>
  <c r="G140" s="1"/>
  <c r="H140" s="1"/>
  <c r="F139"/>
  <c r="G139" s="1"/>
  <c r="H139" s="1"/>
  <c r="F138"/>
  <c r="G138" s="1"/>
  <c r="H138" s="1"/>
  <c r="F137"/>
  <c r="G137" s="1"/>
  <c r="H137" s="1"/>
  <c r="F136"/>
  <c r="G136" s="1"/>
  <c r="H136" s="1"/>
  <c r="F135"/>
  <c r="G135" s="1"/>
  <c r="H135" s="1"/>
  <c r="F134"/>
  <c r="G134" s="1"/>
  <c r="H134" s="1"/>
  <c r="F133"/>
  <c r="G133" s="1"/>
  <c r="H133" s="1"/>
  <c r="F132"/>
  <c r="G132" s="1"/>
  <c r="H132" s="1"/>
  <c r="L132" s="1"/>
  <c r="M132" s="1"/>
  <c r="F131"/>
  <c r="G131" s="1"/>
  <c r="H131" s="1"/>
  <c r="F130"/>
  <c r="G130" s="1"/>
  <c r="H130" s="1"/>
  <c r="L130" s="1"/>
  <c r="M130" s="1"/>
  <c r="F129"/>
  <c r="G129" s="1"/>
  <c r="H129" s="1"/>
  <c r="F128"/>
  <c r="G128" s="1"/>
  <c r="H128" s="1"/>
  <c r="F127"/>
  <c r="G127" s="1"/>
  <c r="H127" s="1"/>
  <c r="L127" s="1"/>
  <c r="M127" s="1"/>
  <c r="F126"/>
  <c r="G126" s="1"/>
  <c r="H126" s="1"/>
  <c r="F125"/>
  <c r="G125" s="1"/>
  <c r="H125" s="1"/>
  <c r="L125" s="1"/>
  <c r="M125" s="1"/>
  <c r="F124"/>
  <c r="G124" s="1"/>
  <c r="H124" s="1"/>
  <c r="F123"/>
  <c r="G123" s="1"/>
  <c r="H123" s="1"/>
  <c r="F122"/>
  <c r="G122" s="1"/>
  <c r="H122" s="1"/>
  <c r="F121"/>
  <c r="G121" s="1"/>
  <c r="H121" s="1"/>
  <c r="F120"/>
  <c r="G120" s="1"/>
  <c r="H120" s="1"/>
  <c r="F119"/>
  <c r="G119" s="1"/>
  <c r="H119" s="1"/>
  <c r="F118"/>
  <c r="G118" s="1"/>
  <c r="H118" s="1"/>
  <c r="F117"/>
  <c r="G117" s="1"/>
  <c r="H117" s="1"/>
  <c r="F116"/>
  <c r="G116" s="1"/>
  <c r="H116" s="1"/>
  <c r="L116" s="1"/>
  <c r="M116" s="1"/>
  <c r="F115"/>
  <c r="G115" s="1"/>
  <c r="H115" s="1"/>
  <c r="L115" s="1"/>
  <c r="M115" s="1"/>
  <c r="F114"/>
  <c r="G114" s="1"/>
  <c r="H114" s="1"/>
  <c r="L114" s="1"/>
  <c r="M114" s="1"/>
  <c r="F113"/>
  <c r="G113" s="1"/>
  <c r="H113" s="1"/>
  <c r="L113" s="1"/>
  <c r="M113" s="1"/>
  <c r="F112"/>
  <c r="G112" s="1"/>
  <c r="H112" s="1"/>
  <c r="F111"/>
  <c r="G111" s="1"/>
  <c r="H111" s="1"/>
  <c r="L111" s="1"/>
  <c r="M111" s="1"/>
  <c r="F110"/>
  <c r="G110" s="1"/>
  <c r="H110" s="1"/>
  <c r="F109"/>
  <c r="G109" s="1"/>
  <c r="H109" s="1"/>
  <c r="F108"/>
  <c r="G108" s="1"/>
  <c r="H108" s="1"/>
  <c r="F107"/>
  <c r="G107" s="1"/>
  <c r="H107" s="1"/>
  <c r="L107" s="1"/>
  <c r="M107" s="1"/>
  <c r="F106"/>
  <c r="G106" s="1"/>
  <c r="H106" s="1"/>
  <c r="F105"/>
  <c r="G105" s="1"/>
  <c r="H105" s="1"/>
  <c r="F104"/>
  <c r="G104" s="1"/>
  <c r="H104" s="1"/>
  <c r="F103"/>
  <c r="G103" s="1"/>
  <c r="H103" s="1"/>
  <c r="L103" s="1"/>
  <c r="M103" s="1"/>
  <c r="F102"/>
  <c r="G102" s="1"/>
  <c r="H102" s="1"/>
  <c r="F101"/>
  <c r="G101" s="1"/>
  <c r="H101" s="1"/>
  <c r="L101" s="1"/>
  <c r="M101" s="1"/>
  <c r="F100"/>
  <c r="G100" s="1"/>
  <c r="H100" s="1"/>
  <c r="L100" s="1"/>
  <c r="M100" s="1"/>
  <c r="F99"/>
  <c r="G99" s="1"/>
  <c r="H99" s="1"/>
  <c r="L99" s="1"/>
  <c r="M99" s="1"/>
  <c r="F98"/>
  <c r="G98" s="1"/>
  <c r="H98" s="1"/>
  <c r="F97"/>
  <c r="G97" s="1"/>
  <c r="H97" s="1"/>
  <c r="F96"/>
  <c r="G96" s="1"/>
  <c r="H96" s="1"/>
  <c r="F95"/>
  <c r="G95" s="1"/>
  <c r="H95" s="1"/>
  <c r="L95" s="1"/>
  <c r="M95" s="1"/>
  <c r="F94"/>
  <c r="G94" s="1"/>
  <c r="H94" s="1"/>
  <c r="L94" s="1"/>
  <c r="M94" s="1"/>
  <c r="F93"/>
  <c r="G93" s="1"/>
  <c r="H93" s="1"/>
  <c r="F92"/>
  <c r="G92" s="1"/>
  <c r="H92" s="1"/>
  <c r="L92" s="1"/>
  <c r="M92" s="1"/>
  <c r="F91"/>
  <c r="G91" s="1"/>
  <c r="H91" s="1"/>
  <c r="L91" s="1"/>
  <c r="M91" s="1"/>
  <c r="F90"/>
  <c r="G90" s="1"/>
  <c r="H90" s="1"/>
  <c r="F89"/>
  <c r="G89" s="1"/>
  <c r="H89" s="1"/>
  <c r="F88"/>
  <c r="G88" s="1"/>
  <c r="H88" s="1"/>
  <c r="L88" s="1"/>
  <c r="M88" s="1"/>
  <c r="F87"/>
  <c r="G87" s="1"/>
  <c r="H87" s="1"/>
  <c r="L87" s="1"/>
  <c r="M87" s="1"/>
  <c r="F86"/>
  <c r="G86" s="1"/>
  <c r="H86" s="1"/>
  <c r="F85"/>
  <c r="G85" s="1"/>
  <c r="H85" s="1"/>
  <c r="F84"/>
  <c r="G84" s="1"/>
  <c r="H84" s="1"/>
  <c r="L84" s="1"/>
  <c r="M84" s="1"/>
  <c r="F83"/>
  <c r="G83" s="1"/>
  <c r="H83" s="1"/>
  <c r="F82"/>
  <c r="G82" s="1"/>
  <c r="H82" s="1"/>
  <c r="F81"/>
  <c r="G81" s="1"/>
  <c r="H81" s="1"/>
  <c r="F80"/>
  <c r="G80" s="1"/>
  <c r="H80" s="1"/>
  <c r="L80" s="1"/>
  <c r="M80" s="1"/>
  <c r="F79"/>
  <c r="G79" s="1"/>
  <c r="H79" s="1"/>
  <c r="F78"/>
  <c r="G78" s="1"/>
  <c r="H78" s="1"/>
  <c r="F77"/>
  <c r="G77" s="1"/>
  <c r="H77" s="1"/>
  <c r="F76"/>
  <c r="G76" s="1"/>
  <c r="H76" s="1"/>
  <c r="L76" s="1"/>
  <c r="M76" s="1"/>
  <c r="F75"/>
  <c r="G75" s="1"/>
  <c r="H75" s="1"/>
  <c r="F74"/>
  <c r="G74" s="1"/>
  <c r="H74" s="1"/>
  <c r="F73"/>
  <c r="G73" s="1"/>
  <c r="H73" s="1"/>
  <c r="F72"/>
  <c r="G72" s="1"/>
  <c r="H72" s="1"/>
  <c r="L72" s="1"/>
  <c r="M72" s="1"/>
  <c r="F71"/>
  <c r="G71" s="1"/>
  <c r="H71" s="1"/>
  <c r="F70"/>
  <c r="G70" s="1"/>
  <c r="H70" s="1"/>
  <c r="F69"/>
  <c r="G69" s="1"/>
  <c r="H69" s="1"/>
  <c r="F68"/>
  <c r="G68" s="1"/>
  <c r="H68" s="1"/>
  <c r="L68" s="1"/>
  <c r="M68" s="1"/>
  <c r="F67"/>
  <c r="G67" s="1"/>
  <c r="H67" s="1"/>
  <c r="F66"/>
  <c r="G66" s="1"/>
  <c r="H66" s="1"/>
  <c r="F65"/>
  <c r="G65" s="1"/>
  <c r="H65" s="1"/>
  <c r="F64"/>
  <c r="G64" s="1"/>
  <c r="H64" s="1"/>
  <c r="L64" s="1"/>
  <c r="M64" s="1"/>
  <c r="F63"/>
  <c r="G63" s="1"/>
  <c r="H63" s="1"/>
  <c r="F62"/>
  <c r="G62" s="1"/>
  <c r="H62" s="1"/>
  <c r="L62" s="1"/>
  <c r="M62" s="1"/>
  <c r="F61"/>
  <c r="G61" s="1"/>
  <c r="H61" s="1"/>
  <c r="F60"/>
  <c r="G60" s="1"/>
  <c r="H60" s="1"/>
  <c r="L60" s="1"/>
  <c r="M60" s="1"/>
  <c r="F59"/>
  <c r="G59" s="1"/>
  <c r="H59" s="1"/>
  <c r="L59" s="1"/>
  <c r="M59" s="1"/>
  <c r="F58"/>
  <c r="G58" s="1"/>
  <c r="H58" s="1"/>
  <c r="F57"/>
  <c r="G57" s="1"/>
  <c r="H57" s="1"/>
  <c r="F56"/>
  <c r="G56" s="1"/>
  <c r="H56" s="1"/>
  <c r="L56" s="1"/>
  <c r="M56" s="1"/>
  <c r="F55"/>
  <c r="G55" s="1"/>
  <c r="H55" s="1"/>
  <c r="L55" s="1"/>
  <c r="M55" s="1"/>
  <c r="F54"/>
  <c r="G54" s="1"/>
  <c r="H54" s="1"/>
  <c r="L54" s="1"/>
  <c r="M54" s="1"/>
  <c r="F53"/>
  <c r="G53" s="1"/>
  <c r="H53" s="1"/>
  <c r="F41"/>
  <c r="G41" s="1"/>
  <c r="H41" s="1"/>
  <c r="F40"/>
  <c r="G40" s="1"/>
  <c r="H40" s="1"/>
  <c r="F39"/>
  <c r="G39" s="1"/>
  <c r="H39" s="1"/>
  <c r="F38"/>
  <c r="G38" s="1"/>
  <c r="H38" s="1"/>
  <c r="F37"/>
  <c r="G37" s="1"/>
  <c r="H37" s="1"/>
  <c r="L37" s="1"/>
  <c r="M37" s="1"/>
  <c r="F36"/>
  <c r="G36" s="1"/>
  <c r="H36" s="1"/>
  <c r="F35"/>
  <c r="G35" s="1"/>
  <c r="H35" s="1"/>
  <c r="L35" s="1"/>
  <c r="M35" s="1"/>
  <c r="F34"/>
  <c r="G34" s="1"/>
  <c r="H34" s="1"/>
  <c r="L34" s="1"/>
  <c r="M34" s="1"/>
  <c r="F33"/>
  <c r="G33" s="1"/>
  <c r="H33" s="1"/>
  <c r="L33" s="1"/>
  <c r="M33" s="1"/>
  <c r="F32"/>
  <c r="G32" s="1"/>
  <c r="H32" s="1"/>
  <c r="F31"/>
  <c r="G31" s="1"/>
  <c r="H31" s="1"/>
  <c r="L31" s="1"/>
  <c r="M31" s="1"/>
  <c r="F30"/>
  <c r="G30" s="1"/>
  <c r="H30" s="1"/>
  <c r="L30" s="1"/>
  <c r="M30" s="1"/>
  <c r="F29"/>
  <c r="G29" s="1"/>
  <c r="H29" s="1"/>
  <c r="L29" s="1"/>
  <c r="M29" s="1"/>
  <c r="F28"/>
  <c r="G28" s="1"/>
  <c r="H28" s="1"/>
  <c r="F27"/>
  <c r="G27" s="1"/>
  <c r="H27" s="1"/>
  <c r="L27" s="1"/>
  <c r="M27" s="1"/>
  <c r="F26"/>
  <c r="G26" s="1"/>
  <c r="H26" s="1"/>
  <c r="L26" s="1"/>
  <c r="M26" s="1"/>
  <c r="F25"/>
  <c r="G25" s="1"/>
  <c r="H25" s="1"/>
  <c r="L25" s="1"/>
  <c r="M25" s="1"/>
  <c r="F24"/>
  <c r="G24" s="1"/>
  <c r="H24" s="1"/>
  <c r="F23"/>
  <c r="G23" s="1"/>
  <c r="H23" s="1"/>
  <c r="L23" s="1"/>
  <c r="M23" s="1"/>
  <c r="F22"/>
  <c r="G22" s="1"/>
  <c r="H22" s="1"/>
  <c r="L22" s="1"/>
  <c r="M22" s="1"/>
  <c r="F21"/>
  <c r="G21" s="1"/>
  <c r="H21" s="1"/>
  <c r="L21" s="1"/>
  <c r="M21" s="1"/>
  <c r="F20"/>
  <c r="G20" s="1"/>
  <c r="H20" s="1"/>
  <c r="F19"/>
  <c r="G19" s="1"/>
  <c r="H19" s="1"/>
  <c r="L19" s="1"/>
  <c r="M19" s="1"/>
  <c r="F18"/>
  <c r="G18" s="1"/>
  <c r="H18" s="1"/>
  <c r="L18" s="1"/>
  <c r="M18" s="1"/>
  <c r="F17"/>
  <c r="G17" s="1"/>
  <c r="H17" s="1"/>
  <c r="L17" s="1"/>
  <c r="M17" s="1"/>
  <c r="F16"/>
  <c r="G16" s="1"/>
  <c r="H16" s="1"/>
  <c r="F15"/>
  <c r="G15" s="1"/>
  <c r="H15" s="1"/>
  <c r="F14"/>
  <c r="G14" s="1"/>
  <c r="H14" s="1"/>
  <c r="L14" s="1"/>
  <c r="M14" s="1"/>
  <c r="F13"/>
  <c r="G13" s="1"/>
  <c r="H13" s="1"/>
  <c r="L13" s="1"/>
  <c r="M13" s="1"/>
  <c r="F12"/>
  <c r="G12" s="1"/>
  <c r="H12" s="1"/>
  <c r="F11"/>
  <c r="G11" s="1"/>
  <c r="H11" s="1"/>
  <c r="L11" s="1"/>
  <c r="M11" s="1"/>
  <c r="F10"/>
  <c r="G10" s="1"/>
  <c r="H10" s="1"/>
  <c r="L10" s="1"/>
  <c r="M10" s="1"/>
  <c r="F9"/>
  <c r="G9" s="1"/>
  <c r="H9" s="1"/>
  <c r="L9" s="1"/>
  <c r="M9" s="1"/>
  <c r="F8"/>
  <c r="G8" s="1"/>
  <c r="H8" s="1"/>
  <c r="F7"/>
  <c r="G7" s="1"/>
  <c r="H7" s="1"/>
  <c r="L7" s="1"/>
  <c r="M7" s="1"/>
  <c r="F6"/>
  <c r="G6" s="1"/>
  <c r="H6" s="1"/>
  <c r="L6" s="1"/>
  <c r="M6" s="1"/>
  <c r="F5"/>
  <c r="G5" s="1"/>
  <c r="H5" s="1"/>
  <c r="L5" s="1"/>
  <c r="M5" s="1"/>
  <c r="F4"/>
  <c r="G4" s="1"/>
  <c r="H4" s="1"/>
  <c r="F3"/>
  <c r="G3" s="1"/>
  <c r="H3" s="1"/>
  <c r="L3" s="1"/>
  <c r="M3" s="1"/>
  <c r="I2"/>
  <c r="J2" s="1"/>
  <c r="K2" s="1"/>
  <c r="F2"/>
  <c r="G2" s="1"/>
  <c r="H2" s="1"/>
  <c r="L214" l="1"/>
  <c r="M214" s="1"/>
  <c r="L246"/>
  <c r="M246" s="1"/>
  <c r="L217"/>
  <c r="M217" s="1"/>
  <c r="L249"/>
  <c r="M249" s="1"/>
  <c r="L549"/>
  <c r="M549" s="1"/>
  <c r="L166"/>
  <c r="M166" s="1"/>
  <c r="L182"/>
  <c r="M182" s="1"/>
  <c r="L169"/>
  <c r="M169" s="1"/>
  <c r="L185"/>
  <c r="M185" s="1"/>
  <c r="L557"/>
  <c r="M557" s="1"/>
  <c r="L561"/>
  <c r="M561" s="1"/>
  <c r="L565"/>
  <c r="M565" s="1"/>
  <c r="L464"/>
  <c r="M464" s="1"/>
  <c r="L472"/>
  <c r="M472" s="1"/>
  <c r="L279"/>
  <c r="M279" s="1"/>
  <c r="L295"/>
  <c r="M295" s="1"/>
  <c r="L311"/>
  <c r="M311" s="1"/>
  <c r="L327"/>
  <c r="M327" s="1"/>
  <c r="L343"/>
  <c r="M343" s="1"/>
  <c r="L347"/>
  <c r="M347" s="1"/>
  <c r="L363"/>
  <c r="M363" s="1"/>
  <c r="L379"/>
  <c r="M379" s="1"/>
  <c r="L425"/>
  <c r="M425" s="1"/>
  <c r="L70"/>
  <c r="M70" s="1"/>
  <c r="L110"/>
  <c r="M110" s="1"/>
  <c r="L126"/>
  <c r="M126" s="1"/>
  <c r="L97"/>
  <c r="M97" s="1"/>
  <c r="L271"/>
  <c r="M271" s="1"/>
  <c r="L287"/>
  <c r="M287" s="1"/>
  <c r="L303"/>
  <c r="M303" s="1"/>
  <c r="L319"/>
  <c r="M319" s="1"/>
  <c r="L335"/>
  <c r="M335" s="1"/>
  <c r="L355"/>
  <c r="M355" s="1"/>
  <c r="L371"/>
  <c r="M371" s="1"/>
  <c r="L387"/>
  <c r="M387" s="1"/>
  <c r="L433"/>
  <c r="M433" s="1"/>
  <c r="L508"/>
  <c r="M508" s="1"/>
  <c r="L2"/>
  <c r="M2" s="1"/>
  <c r="L41"/>
  <c r="M41" s="1"/>
  <c r="L275"/>
  <c r="M275" s="1"/>
  <c r="L283"/>
  <c r="M283" s="1"/>
  <c r="L291"/>
  <c r="M291" s="1"/>
  <c r="L299"/>
  <c r="M299" s="1"/>
  <c r="L307"/>
  <c r="M307" s="1"/>
  <c r="L315"/>
  <c r="M315" s="1"/>
  <c r="L323"/>
  <c r="M323" s="1"/>
  <c r="L331"/>
  <c r="M331" s="1"/>
  <c r="L339"/>
  <c r="M339" s="1"/>
  <c r="L398"/>
  <c r="M398" s="1"/>
  <c r="L406"/>
  <c r="M406" s="1"/>
  <c r="L419"/>
  <c r="M419" s="1"/>
  <c r="L424"/>
  <c r="M424" s="1"/>
  <c r="L427"/>
  <c r="M427" s="1"/>
  <c r="L432"/>
  <c r="M432" s="1"/>
  <c r="L435"/>
  <c r="M435" s="1"/>
  <c r="L448"/>
  <c r="M448" s="1"/>
  <c r="L456"/>
  <c r="M456" s="1"/>
  <c r="L460"/>
  <c r="M460" s="1"/>
  <c r="L585"/>
  <c r="M585" s="1"/>
  <c r="L71"/>
  <c r="M71" s="1"/>
  <c r="L414"/>
  <c r="M414" s="1"/>
  <c r="L422"/>
  <c r="M422" s="1"/>
  <c r="L430"/>
  <c r="M430" s="1"/>
  <c r="L438"/>
  <c r="M438" s="1"/>
  <c r="L476"/>
  <c r="M476" s="1"/>
  <c r="L39"/>
  <c r="M39" s="1"/>
  <c r="L102"/>
  <c r="M102" s="1"/>
  <c r="L154"/>
  <c r="M154" s="1"/>
  <c r="L198"/>
  <c r="M198" s="1"/>
  <c r="L230"/>
  <c r="M230" s="1"/>
  <c r="L137"/>
  <c r="M137" s="1"/>
  <c r="L157"/>
  <c r="M157" s="1"/>
  <c r="L173"/>
  <c r="M173" s="1"/>
  <c r="L201"/>
  <c r="M201" s="1"/>
  <c r="L233"/>
  <c r="M233" s="1"/>
  <c r="L351"/>
  <c r="M351" s="1"/>
  <c r="L359"/>
  <c r="M359" s="1"/>
  <c r="L367"/>
  <c r="M367" s="1"/>
  <c r="L375"/>
  <c r="M375" s="1"/>
  <c r="L383"/>
  <c r="M383" s="1"/>
  <c r="L396"/>
  <c r="M396" s="1"/>
  <c r="L404"/>
  <c r="M404" s="1"/>
  <c r="L553"/>
  <c r="M553" s="1"/>
  <c r="L569"/>
  <c r="M569" s="1"/>
  <c r="L594"/>
  <c r="M594" s="1"/>
  <c r="L412"/>
  <c r="M412" s="1"/>
  <c r="L4"/>
  <c r="M4" s="1"/>
  <c r="L8"/>
  <c r="M8" s="1"/>
  <c r="L12"/>
  <c r="M12" s="1"/>
  <c r="L16"/>
  <c r="M16" s="1"/>
  <c r="L20"/>
  <c r="M20" s="1"/>
  <c r="L24"/>
  <c r="M24" s="1"/>
  <c r="L28"/>
  <c r="M28" s="1"/>
  <c r="L32"/>
  <c r="M32" s="1"/>
  <c r="L36"/>
  <c r="M36" s="1"/>
  <c r="L40"/>
  <c r="M40" s="1"/>
  <c r="L67"/>
  <c r="M67" s="1"/>
  <c r="L75"/>
  <c r="M75" s="1"/>
  <c r="L15"/>
  <c r="M15" s="1"/>
  <c r="L402"/>
  <c r="M402" s="1"/>
  <c r="L410"/>
  <c r="M410" s="1"/>
  <c r="L418"/>
  <c r="M418" s="1"/>
  <c r="L421"/>
  <c r="M421" s="1"/>
  <c r="L426"/>
  <c r="M426" s="1"/>
  <c r="L429"/>
  <c r="M429" s="1"/>
  <c r="L434"/>
  <c r="M434" s="1"/>
  <c r="L437"/>
  <c r="M437" s="1"/>
  <c r="L400"/>
  <c r="M400" s="1"/>
  <c r="L408"/>
  <c r="M408" s="1"/>
  <c r="L416"/>
  <c r="M416" s="1"/>
  <c r="L420"/>
  <c r="M420" s="1"/>
  <c r="L423"/>
  <c r="M423" s="1"/>
  <c r="L428"/>
  <c r="M428" s="1"/>
  <c r="L431"/>
  <c r="M431" s="1"/>
  <c r="L436"/>
  <c r="M436" s="1"/>
  <c r="L439"/>
  <c r="M439" s="1"/>
  <c r="L480"/>
  <c r="M480" s="1"/>
  <c r="L504"/>
  <c r="M504" s="1"/>
  <c r="L397"/>
  <c r="M397" s="1"/>
  <c r="L399"/>
  <c r="M399" s="1"/>
  <c r="L401"/>
  <c r="M401" s="1"/>
  <c r="L403"/>
  <c r="M403" s="1"/>
  <c r="L405"/>
  <c r="M405" s="1"/>
  <c r="L407"/>
  <c r="M407" s="1"/>
  <c r="L409"/>
  <c r="M409" s="1"/>
  <c r="L411"/>
  <c r="M411" s="1"/>
  <c r="L413"/>
  <c r="M413" s="1"/>
  <c r="L415"/>
  <c r="M415" s="1"/>
  <c r="L417"/>
  <c r="M417" s="1"/>
  <c r="L452"/>
  <c r="M452" s="1"/>
  <c r="L468"/>
  <c r="M468" s="1"/>
  <c r="L492"/>
  <c r="M492" s="1"/>
  <c r="L512"/>
  <c r="M512" s="1"/>
  <c r="L513"/>
  <c r="M513" s="1"/>
  <c r="L514"/>
  <c r="M514" s="1"/>
  <c r="L515"/>
  <c r="M515" s="1"/>
  <c r="L516"/>
  <c r="M516" s="1"/>
  <c r="L517"/>
  <c r="M517" s="1"/>
  <c r="L518"/>
  <c r="M518" s="1"/>
  <c r="L519"/>
  <c r="M519" s="1"/>
  <c r="L520"/>
  <c r="M520" s="1"/>
  <c r="L521"/>
  <c r="M521" s="1"/>
  <c r="L522"/>
  <c r="M522" s="1"/>
  <c r="L523"/>
  <c r="M523" s="1"/>
  <c r="L524"/>
  <c r="M524" s="1"/>
  <c r="L525"/>
  <c r="M525" s="1"/>
  <c r="L526"/>
  <c r="M526" s="1"/>
  <c r="L527"/>
  <c r="M527" s="1"/>
  <c r="L528"/>
  <c r="M528" s="1"/>
  <c r="L529"/>
  <c r="M529" s="1"/>
  <c r="L530"/>
  <c r="M530" s="1"/>
  <c r="L541"/>
  <c r="M541" s="1"/>
  <c r="L542"/>
  <c r="M542" s="1"/>
  <c r="L543"/>
  <c r="M543" s="1"/>
  <c r="L544"/>
  <c r="M544" s="1"/>
  <c r="L545"/>
  <c r="M545" s="1"/>
  <c r="L546"/>
  <c r="M546" s="1"/>
  <c r="L547"/>
  <c r="M547" s="1"/>
  <c r="L548"/>
  <c r="M548" s="1"/>
  <c r="L573"/>
  <c r="M573" s="1"/>
  <c r="L577"/>
  <c r="M577" s="1"/>
  <c r="L581"/>
  <c r="M581" s="1"/>
  <c r="L79"/>
  <c r="M79" s="1"/>
  <c r="L83"/>
  <c r="M83" s="1"/>
  <c r="L441"/>
  <c r="M441" s="1"/>
  <c r="L78"/>
  <c r="M78" s="1"/>
  <c r="L86"/>
  <c r="M86" s="1"/>
  <c r="L98"/>
  <c r="M98" s="1"/>
  <c r="L118"/>
  <c r="M118" s="1"/>
  <c r="L122"/>
  <c r="M122" s="1"/>
  <c r="L134"/>
  <c r="M134" s="1"/>
  <c r="L138"/>
  <c r="M138" s="1"/>
  <c r="L142"/>
  <c r="M142" s="1"/>
  <c r="L150"/>
  <c r="M150" s="1"/>
  <c r="L158"/>
  <c r="M158" s="1"/>
  <c r="L162"/>
  <c r="M162" s="1"/>
  <c r="L174"/>
  <c r="M174" s="1"/>
  <c r="L178"/>
  <c r="M178" s="1"/>
  <c r="L190"/>
  <c r="M190" s="1"/>
  <c r="L206"/>
  <c r="M206" s="1"/>
  <c r="L222"/>
  <c r="M222" s="1"/>
  <c r="L238"/>
  <c r="M238" s="1"/>
  <c r="L254"/>
  <c r="M254" s="1"/>
  <c r="L443"/>
  <c r="M443" s="1"/>
  <c r="L121"/>
  <c r="M121" s="1"/>
  <c r="L153"/>
  <c r="M153" s="1"/>
  <c r="L63"/>
  <c r="M63" s="1"/>
  <c r="L445"/>
  <c r="M445" s="1"/>
  <c r="L449"/>
  <c r="M449" s="1"/>
  <c r="L453"/>
  <c r="M453" s="1"/>
  <c r="L457"/>
  <c r="M457" s="1"/>
  <c r="L461"/>
  <c r="M461" s="1"/>
  <c r="L465"/>
  <c r="M465" s="1"/>
  <c r="L469"/>
  <c r="M469" s="1"/>
  <c r="L473"/>
  <c r="M473" s="1"/>
  <c r="L477"/>
  <c r="M477" s="1"/>
  <c r="L481"/>
  <c r="M481" s="1"/>
  <c r="L493"/>
  <c r="M493" s="1"/>
  <c r="L505"/>
  <c r="M505" s="1"/>
  <c r="L509"/>
  <c r="M509" s="1"/>
  <c r="L552"/>
  <c r="M552" s="1"/>
  <c r="L556"/>
  <c r="M556" s="1"/>
  <c r="L560"/>
  <c r="M560" s="1"/>
  <c r="L564"/>
  <c r="M564" s="1"/>
  <c r="L568"/>
  <c r="M568" s="1"/>
  <c r="L572"/>
  <c r="M572" s="1"/>
  <c r="L576"/>
  <c r="M576" s="1"/>
  <c r="L580"/>
  <c r="M580" s="1"/>
  <c r="L584"/>
  <c r="M584" s="1"/>
  <c r="L593"/>
  <c r="M593" s="1"/>
  <c r="L597"/>
  <c r="M597" s="1"/>
  <c r="L440"/>
  <c r="M440" s="1"/>
  <c r="L442"/>
  <c r="M442" s="1"/>
  <c r="L444"/>
  <c r="M444" s="1"/>
  <c r="L447"/>
  <c r="M447" s="1"/>
  <c r="L451"/>
  <c r="M451" s="1"/>
  <c r="L455"/>
  <c r="M455" s="1"/>
  <c r="L459"/>
  <c r="M459" s="1"/>
  <c r="L463"/>
  <c r="M463" s="1"/>
  <c r="L467"/>
  <c r="M467" s="1"/>
  <c r="L471"/>
  <c r="M471" s="1"/>
  <c r="L475"/>
  <c r="M475" s="1"/>
  <c r="L479"/>
  <c r="M479" s="1"/>
  <c r="M483"/>
  <c r="L503"/>
  <c r="M503" s="1"/>
  <c r="L507"/>
  <c r="M507" s="1"/>
  <c r="L511"/>
  <c r="M511" s="1"/>
  <c r="L550"/>
  <c r="M550" s="1"/>
  <c r="L554"/>
  <c r="M554" s="1"/>
  <c r="L558"/>
  <c r="M558" s="1"/>
  <c r="L562"/>
  <c r="M562" s="1"/>
  <c r="L566"/>
  <c r="M566" s="1"/>
  <c r="L570"/>
  <c r="M570" s="1"/>
  <c r="L574"/>
  <c r="M574" s="1"/>
  <c r="L578"/>
  <c r="M578" s="1"/>
  <c r="L582"/>
  <c r="M582" s="1"/>
  <c r="L586"/>
  <c r="M586" s="1"/>
  <c r="L595"/>
  <c r="M595" s="1"/>
  <c r="L446"/>
  <c r="M446" s="1"/>
  <c r="L450"/>
  <c r="M450" s="1"/>
  <c r="L454"/>
  <c r="M454" s="1"/>
  <c r="L458"/>
  <c r="M458" s="1"/>
  <c r="L462"/>
  <c r="M462" s="1"/>
  <c r="L466"/>
  <c r="M466" s="1"/>
  <c r="L470"/>
  <c r="M470" s="1"/>
  <c r="L474"/>
  <c r="M474" s="1"/>
  <c r="L478"/>
  <c r="M478" s="1"/>
  <c r="L482"/>
  <c r="M482" s="1"/>
  <c r="L502"/>
  <c r="M502" s="1"/>
  <c r="L506"/>
  <c r="M506" s="1"/>
  <c r="L510"/>
  <c r="M510" s="1"/>
  <c r="L551"/>
  <c r="M551" s="1"/>
  <c r="L555"/>
  <c r="M555" s="1"/>
  <c r="L559"/>
  <c r="M559" s="1"/>
  <c r="L563"/>
  <c r="M563" s="1"/>
  <c r="L567"/>
  <c r="M567" s="1"/>
  <c r="L571"/>
  <c r="M571" s="1"/>
  <c r="L575"/>
  <c r="M575" s="1"/>
  <c r="L579"/>
  <c r="M579" s="1"/>
  <c r="L583"/>
  <c r="M583" s="1"/>
  <c r="L592"/>
  <c r="M592" s="1"/>
  <c r="L596"/>
  <c r="M596" s="1"/>
  <c r="L269"/>
  <c r="M269" s="1"/>
  <c r="L270"/>
  <c r="M270" s="1"/>
  <c r="L274"/>
  <c r="M274" s="1"/>
  <c r="L278"/>
  <c r="M278" s="1"/>
  <c r="L282"/>
  <c r="M282" s="1"/>
  <c r="L286"/>
  <c r="M286" s="1"/>
  <c r="L290"/>
  <c r="M290" s="1"/>
  <c r="L294"/>
  <c r="M294" s="1"/>
  <c r="L298"/>
  <c r="M298" s="1"/>
  <c r="L302"/>
  <c r="M302" s="1"/>
  <c r="L306"/>
  <c r="M306" s="1"/>
  <c r="L310"/>
  <c r="M310" s="1"/>
  <c r="L314"/>
  <c r="M314" s="1"/>
  <c r="L318"/>
  <c r="M318" s="1"/>
  <c r="L322"/>
  <c r="M322" s="1"/>
  <c r="L326"/>
  <c r="M326" s="1"/>
  <c r="L330"/>
  <c r="M330" s="1"/>
  <c r="L334"/>
  <c r="M334" s="1"/>
  <c r="L338"/>
  <c r="M338" s="1"/>
  <c r="L342"/>
  <c r="M342" s="1"/>
  <c r="L346"/>
  <c r="M346" s="1"/>
  <c r="L350"/>
  <c r="M350" s="1"/>
  <c r="L354"/>
  <c r="M354" s="1"/>
  <c r="L358"/>
  <c r="M358" s="1"/>
  <c r="L362"/>
  <c r="M362" s="1"/>
  <c r="L366"/>
  <c r="M366" s="1"/>
  <c r="L370"/>
  <c r="M370" s="1"/>
  <c r="L374"/>
  <c r="M374" s="1"/>
  <c r="L378"/>
  <c r="M378" s="1"/>
  <c r="L382"/>
  <c r="M382" s="1"/>
  <c r="L386"/>
  <c r="M386" s="1"/>
  <c r="L272"/>
  <c r="M272" s="1"/>
  <c r="L276"/>
  <c r="M276" s="1"/>
  <c r="L280"/>
  <c r="M280" s="1"/>
  <c r="L284"/>
  <c r="M284" s="1"/>
  <c r="L288"/>
  <c r="M288" s="1"/>
  <c r="L292"/>
  <c r="M292" s="1"/>
  <c r="L296"/>
  <c r="M296" s="1"/>
  <c r="L300"/>
  <c r="M300" s="1"/>
  <c r="L304"/>
  <c r="M304" s="1"/>
  <c r="L308"/>
  <c r="M308" s="1"/>
  <c r="L312"/>
  <c r="M312" s="1"/>
  <c r="L316"/>
  <c r="M316" s="1"/>
  <c r="L320"/>
  <c r="M320" s="1"/>
  <c r="L324"/>
  <c r="M324" s="1"/>
  <c r="L328"/>
  <c r="M328" s="1"/>
  <c r="L332"/>
  <c r="M332" s="1"/>
  <c r="L336"/>
  <c r="M336" s="1"/>
  <c r="L340"/>
  <c r="M340" s="1"/>
  <c r="L344"/>
  <c r="M344" s="1"/>
  <c r="L348"/>
  <c r="M348" s="1"/>
  <c r="L352"/>
  <c r="M352" s="1"/>
  <c r="L356"/>
  <c r="M356" s="1"/>
  <c r="L360"/>
  <c r="M360" s="1"/>
  <c r="L364"/>
  <c r="M364" s="1"/>
  <c r="L368"/>
  <c r="M368" s="1"/>
  <c r="L372"/>
  <c r="M372" s="1"/>
  <c r="L376"/>
  <c r="M376" s="1"/>
  <c r="L380"/>
  <c r="M380" s="1"/>
  <c r="L384"/>
  <c r="M384" s="1"/>
  <c r="L273"/>
  <c r="M273" s="1"/>
  <c r="L277"/>
  <c r="M277" s="1"/>
  <c r="L281"/>
  <c r="M281" s="1"/>
  <c r="L285"/>
  <c r="M285" s="1"/>
  <c r="L289"/>
  <c r="M289" s="1"/>
  <c r="L293"/>
  <c r="M293" s="1"/>
  <c r="L297"/>
  <c r="M297" s="1"/>
  <c r="L301"/>
  <c r="M301" s="1"/>
  <c r="L305"/>
  <c r="M305" s="1"/>
  <c r="L309"/>
  <c r="M309" s="1"/>
  <c r="L313"/>
  <c r="M313" s="1"/>
  <c r="L317"/>
  <c r="M317" s="1"/>
  <c r="L321"/>
  <c r="M321" s="1"/>
  <c r="L325"/>
  <c r="M325" s="1"/>
  <c r="L329"/>
  <c r="M329" s="1"/>
  <c r="L333"/>
  <c r="M333" s="1"/>
  <c r="L337"/>
  <c r="M337" s="1"/>
  <c r="L341"/>
  <c r="M341" s="1"/>
  <c r="L345"/>
  <c r="M345" s="1"/>
  <c r="L349"/>
  <c r="M349" s="1"/>
  <c r="L353"/>
  <c r="M353" s="1"/>
  <c r="L357"/>
  <c r="M357" s="1"/>
  <c r="L361"/>
  <c r="M361" s="1"/>
  <c r="L365"/>
  <c r="M365" s="1"/>
  <c r="L369"/>
  <c r="M369" s="1"/>
  <c r="L373"/>
  <c r="M373" s="1"/>
  <c r="L377"/>
  <c r="M377" s="1"/>
  <c r="L381"/>
  <c r="M381" s="1"/>
  <c r="L385"/>
  <c r="M385" s="1"/>
  <c r="L38"/>
  <c r="M38" s="1"/>
  <c r="L53"/>
  <c r="M53" s="1"/>
  <c r="L57"/>
  <c r="M57" s="1"/>
  <c r="L58"/>
  <c r="M58" s="1"/>
  <c r="L65"/>
  <c r="M65" s="1"/>
  <c r="L66"/>
  <c r="M66" s="1"/>
  <c r="L73"/>
  <c r="M73" s="1"/>
  <c r="L74"/>
  <c r="M74" s="1"/>
  <c r="L81"/>
  <c r="M81" s="1"/>
  <c r="L82"/>
  <c r="M82" s="1"/>
  <c r="L89"/>
  <c r="M89" s="1"/>
  <c r="L90"/>
  <c r="M90" s="1"/>
  <c r="L96"/>
  <c r="M96" s="1"/>
  <c r="L106"/>
  <c r="M106" s="1"/>
  <c r="L109"/>
  <c r="M109" s="1"/>
  <c r="L112"/>
  <c r="M112" s="1"/>
  <c r="L120"/>
  <c r="M120" s="1"/>
  <c r="L129"/>
  <c r="M129" s="1"/>
  <c r="L131"/>
  <c r="M131" s="1"/>
  <c r="L136"/>
  <c r="M136" s="1"/>
  <c r="L145"/>
  <c r="M145" s="1"/>
  <c r="L147"/>
  <c r="M147" s="1"/>
  <c r="L152"/>
  <c r="M152" s="1"/>
  <c r="L161"/>
  <c r="M161" s="1"/>
  <c r="L163"/>
  <c r="M163" s="1"/>
  <c r="L168"/>
  <c r="M168" s="1"/>
  <c r="L177"/>
  <c r="M177" s="1"/>
  <c r="L179"/>
  <c r="M179" s="1"/>
  <c r="L184"/>
  <c r="M184" s="1"/>
  <c r="L193"/>
  <c r="M193" s="1"/>
  <c r="L195"/>
  <c r="M195" s="1"/>
  <c r="L200"/>
  <c r="M200" s="1"/>
  <c r="L209"/>
  <c r="M209" s="1"/>
  <c r="L211"/>
  <c r="M211" s="1"/>
  <c r="L216"/>
  <c r="M216" s="1"/>
  <c r="L225"/>
  <c r="M225" s="1"/>
  <c r="L227"/>
  <c r="M227" s="1"/>
  <c r="L232"/>
  <c r="M232" s="1"/>
  <c r="L241"/>
  <c r="M241" s="1"/>
  <c r="L243"/>
  <c r="M243" s="1"/>
  <c r="L248"/>
  <c r="M248" s="1"/>
  <c r="L257"/>
  <c r="M257" s="1"/>
  <c r="L61"/>
  <c r="M61" s="1"/>
  <c r="L69"/>
  <c r="M69" s="1"/>
  <c r="L77"/>
  <c r="M77" s="1"/>
  <c r="L85"/>
  <c r="M85" s="1"/>
  <c r="L93"/>
  <c r="M93" s="1"/>
  <c r="L104"/>
  <c r="M104" s="1"/>
  <c r="L123"/>
  <c r="M123" s="1"/>
  <c r="L128"/>
  <c r="M128" s="1"/>
  <c r="L139"/>
  <c r="M139" s="1"/>
  <c r="L144"/>
  <c r="M144" s="1"/>
  <c r="L155"/>
  <c r="M155" s="1"/>
  <c r="L160"/>
  <c r="M160" s="1"/>
  <c r="L171"/>
  <c r="M171" s="1"/>
  <c r="L176"/>
  <c r="M176" s="1"/>
  <c r="L187"/>
  <c r="M187" s="1"/>
  <c r="L192"/>
  <c r="M192" s="1"/>
  <c r="L203"/>
  <c r="M203" s="1"/>
  <c r="L208"/>
  <c r="M208" s="1"/>
  <c r="L219"/>
  <c r="M219" s="1"/>
  <c r="L224"/>
  <c r="M224" s="1"/>
  <c r="L235"/>
  <c r="M235" s="1"/>
  <c r="L240"/>
  <c r="M240" s="1"/>
  <c r="L251"/>
  <c r="M251" s="1"/>
  <c r="L256"/>
  <c r="M256" s="1"/>
  <c r="L105"/>
  <c r="M105" s="1"/>
  <c r="L108"/>
  <c r="M108" s="1"/>
  <c r="L117"/>
  <c r="M117" s="1"/>
  <c r="L119"/>
  <c r="M119" s="1"/>
  <c r="L124"/>
  <c r="M124" s="1"/>
  <c r="L133"/>
  <c r="M133" s="1"/>
  <c r="L135"/>
  <c r="M135" s="1"/>
  <c r="L140"/>
  <c r="M140" s="1"/>
  <c r="L149"/>
  <c r="M149" s="1"/>
  <c r="L151"/>
  <c r="M151" s="1"/>
  <c r="L156"/>
  <c r="M156" s="1"/>
  <c r="L165"/>
  <c r="M165" s="1"/>
  <c r="L167"/>
  <c r="M167" s="1"/>
  <c r="L172"/>
  <c r="M172" s="1"/>
  <c r="L181"/>
  <c r="M181" s="1"/>
  <c r="L183"/>
  <c r="M183" s="1"/>
  <c r="L188"/>
  <c r="M188" s="1"/>
  <c r="L197"/>
  <c r="M197" s="1"/>
  <c r="L199"/>
  <c r="M199" s="1"/>
  <c r="L204"/>
  <c r="M204" s="1"/>
  <c r="L213"/>
  <c r="M213" s="1"/>
  <c r="L215"/>
  <c r="M215" s="1"/>
  <c r="L220"/>
  <c r="M220" s="1"/>
  <c r="L229"/>
  <c r="M229" s="1"/>
  <c r="L231"/>
  <c r="M231" s="1"/>
  <c r="L236"/>
  <c r="M236" s="1"/>
  <c r="L245"/>
  <c r="M245" s="1"/>
  <c r="L247"/>
  <c r="M247" s="1"/>
  <c r="L252"/>
  <c r="M252" s="1"/>
  <c r="D634" i="4"/>
  <c r="D633"/>
  <c r="D631"/>
  <c r="D630"/>
  <c r="D629"/>
  <c r="F45"/>
  <c r="E38"/>
  <c r="D38"/>
  <c r="E35"/>
  <c r="D35"/>
  <c r="E34"/>
  <c r="D34"/>
  <c r="E33"/>
  <c r="D33"/>
  <c r="E32"/>
  <c r="D32"/>
  <c r="E31"/>
  <c r="D31"/>
  <c r="E25"/>
  <c r="D25"/>
  <c r="F18"/>
  <c r="E18"/>
  <c r="E45"/>
  <c r="D45"/>
  <c r="E39"/>
  <c r="D39"/>
  <c r="E30"/>
  <c r="D30"/>
  <c r="D36" s="1"/>
  <c r="E3"/>
  <c r="E36" l="1"/>
  <c r="M531" i="5"/>
  <c r="M388"/>
  <c r="M484"/>
  <c r="M42"/>
  <c r="M259"/>
  <c r="E40" i="4"/>
  <c r="D40"/>
  <c r="D26"/>
  <c r="E14"/>
  <c r="I61" i="3"/>
  <c r="I59"/>
  <c r="I55"/>
  <c r="E79"/>
  <c r="C60" s="1"/>
  <c r="I60" s="1"/>
  <c r="F71"/>
  <c r="C62" l="1"/>
  <c r="J62" s="1"/>
  <c r="I62"/>
  <c r="EX25" l="1"/>
  <c r="EV24"/>
  <c r="B27" l="1"/>
  <c r="EU27"/>
  <c r="ET27"/>
  <c r="ES27"/>
  <c r="ER27"/>
  <c r="EQ27"/>
  <c r="EP27"/>
  <c r="EO27"/>
  <c r="EN27"/>
  <c r="EM27"/>
  <c r="EL27"/>
  <c r="EK27"/>
  <c r="EJ27"/>
  <c r="EI27"/>
  <c r="EH27"/>
  <c r="EG27"/>
  <c r="EF27"/>
  <c r="EE27"/>
  <c r="ED27"/>
  <c r="EC27"/>
  <c r="EB27"/>
  <c r="EA27"/>
  <c r="DZ27"/>
  <c r="DY27"/>
  <c r="DX27"/>
  <c r="DW27"/>
  <c r="DV27"/>
  <c r="DU27"/>
  <c r="DT27"/>
  <c r="DS27"/>
  <c r="DR27"/>
  <c r="DQ27"/>
  <c r="DP27"/>
  <c r="DO27"/>
  <c r="DN27"/>
  <c r="DM27"/>
  <c r="DL27"/>
  <c r="DK27"/>
  <c r="DJ27"/>
  <c r="DI27"/>
  <c r="DH27"/>
  <c r="DG27"/>
  <c r="DF27"/>
  <c r="DE27"/>
  <c r="DD27"/>
  <c r="DC27"/>
  <c r="DB27"/>
  <c r="DA27"/>
  <c r="CZ27"/>
  <c r="CY27"/>
  <c r="CX27"/>
  <c r="CW27"/>
  <c r="CV27"/>
  <c r="CU27"/>
  <c r="CT27"/>
  <c r="CS27"/>
  <c r="CR27"/>
  <c r="CQ27"/>
  <c r="CP27"/>
  <c r="CO27"/>
  <c r="CN27"/>
  <c r="CM27"/>
  <c r="CL27"/>
  <c r="CK27"/>
  <c r="CJ27"/>
  <c r="CI27"/>
  <c r="CH27"/>
  <c r="CG27"/>
  <c r="CF27"/>
  <c r="CE27"/>
  <c r="CD27"/>
  <c r="CC27"/>
  <c r="CB27"/>
  <c r="CA27"/>
  <c r="BZ27"/>
  <c r="BY27"/>
  <c r="BX27"/>
  <c r="BW27"/>
  <c r="BV27"/>
  <c r="BU27"/>
  <c r="BT27"/>
  <c r="BS27"/>
  <c r="BR27"/>
  <c r="BQ27"/>
  <c r="BP27"/>
  <c r="BO27"/>
  <c r="BN27"/>
  <c r="BM27"/>
  <c r="BL27"/>
  <c r="BK27"/>
  <c r="BJ27"/>
  <c r="BI27"/>
  <c r="BH27"/>
  <c r="BG27"/>
  <c r="BF27"/>
  <c r="BE27"/>
  <c r="BD27"/>
  <c r="BC27"/>
  <c r="BB27"/>
  <c r="BA27"/>
  <c r="AZ27"/>
  <c r="AY27"/>
  <c r="AX27"/>
  <c r="AW27"/>
  <c r="AV27"/>
  <c r="AU27"/>
  <c r="AT27"/>
  <c r="AS27"/>
  <c r="AR27"/>
  <c r="AQ27"/>
  <c r="AP27"/>
  <c r="AO27"/>
  <c r="AN27"/>
  <c r="AM27"/>
  <c r="AL27"/>
  <c r="AK27"/>
  <c r="AJ27"/>
  <c r="AI27"/>
  <c r="AH27"/>
  <c r="AG27"/>
  <c r="AF2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FB16" l="1"/>
  <c r="FA62" i="9" s="1"/>
  <c r="FB61" s="1"/>
  <c r="EV33" i="3"/>
  <c r="C53" s="1"/>
  <c r="EV25"/>
  <c r="FB9" s="1"/>
  <c r="FE9" s="1"/>
  <c r="EV32"/>
  <c r="C54" s="1"/>
  <c r="I54" s="1"/>
  <c r="EV19"/>
  <c r="EV18"/>
  <c r="EV17"/>
  <c r="EV22"/>
  <c r="EV16"/>
  <c r="EV21"/>
  <c r="EV15"/>
  <c r="EV14"/>
  <c r="EV13"/>
  <c r="EV12"/>
  <c r="EV11"/>
  <c r="EV10"/>
  <c r="EV20"/>
  <c r="EV9"/>
  <c r="EV8"/>
  <c r="EV7"/>
  <c r="EV6"/>
  <c r="EV5"/>
  <c r="EV4"/>
  <c r="EV3"/>
  <c r="EV2"/>
  <c r="EU26" i="2"/>
  <c r="ET26"/>
  <c r="ES26"/>
  <c r="ER26"/>
  <c r="EQ26"/>
  <c r="EP26"/>
  <c r="EO26"/>
  <c r="EN26"/>
  <c r="EM26"/>
  <c r="EL26"/>
  <c r="EK26"/>
  <c r="EJ26"/>
  <c r="EI26"/>
  <c r="EH26"/>
  <c r="EG26"/>
  <c r="EF26"/>
  <c r="EE26"/>
  <c r="ED26"/>
  <c r="EC26"/>
  <c r="EB26"/>
  <c r="EA26"/>
  <c r="DZ26"/>
  <c r="DY26"/>
  <c r="DX26"/>
  <c r="DW26"/>
  <c r="DV26"/>
  <c r="DU26"/>
  <c r="DT26"/>
  <c r="DS26"/>
  <c r="DR26"/>
  <c r="DQ26"/>
  <c r="DP26"/>
  <c r="DO26"/>
  <c r="DN26"/>
  <c r="DM26"/>
  <c r="DL26"/>
  <c r="DK26"/>
  <c r="DJ26"/>
  <c r="DI26"/>
  <c r="DH26"/>
  <c r="DG26"/>
  <c r="DF26"/>
  <c r="DE26"/>
  <c r="DD26"/>
  <c r="DC26"/>
  <c r="DB26"/>
  <c r="DA26"/>
  <c r="CZ26"/>
  <c r="CY26"/>
  <c r="CX26"/>
  <c r="CW26"/>
  <c r="CV26"/>
  <c r="CU26"/>
  <c r="CT26"/>
  <c r="CS26"/>
  <c r="CR26"/>
  <c r="CQ26"/>
  <c r="CP26"/>
  <c r="CO26"/>
  <c r="CN26"/>
  <c r="CM26"/>
  <c r="CL26"/>
  <c r="CK26"/>
  <c r="CJ26"/>
  <c r="CI26"/>
  <c r="CH26"/>
  <c r="CG26"/>
  <c r="CF26"/>
  <c r="CE26"/>
  <c r="CD26"/>
  <c r="CC26"/>
  <c r="CB26"/>
  <c r="CA26"/>
  <c r="BZ26"/>
  <c r="BY26"/>
  <c r="BX26"/>
  <c r="BW26"/>
  <c r="BV26"/>
  <c r="BU26"/>
  <c r="BT26"/>
  <c r="BS26"/>
  <c r="BR26"/>
  <c r="BQ26"/>
  <c r="BP26"/>
  <c r="BO26"/>
  <c r="BN26"/>
  <c r="BM26"/>
  <c r="BL26"/>
  <c r="BK26"/>
  <c r="BJ26"/>
  <c r="BI26"/>
  <c r="BH26"/>
  <c r="BG26"/>
  <c r="BF26"/>
  <c r="BE26"/>
  <c r="BD26"/>
  <c r="BC26"/>
  <c r="BB26"/>
  <c r="BA26"/>
  <c r="AZ26"/>
  <c r="AY26"/>
  <c r="AX26"/>
  <c r="AW26"/>
  <c r="AV26"/>
  <c r="AU26"/>
  <c r="AT26"/>
  <c r="AS26"/>
  <c r="AR26"/>
  <c r="AQ26"/>
  <c r="AP26"/>
  <c r="AO26"/>
  <c r="AN26"/>
  <c r="AM26"/>
  <c r="AL26"/>
  <c r="AK26"/>
  <c r="AJ26"/>
  <c r="AI26"/>
  <c r="AH26"/>
  <c r="AG26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V26" s="1"/>
  <c r="E26"/>
  <c r="D26"/>
  <c r="C26"/>
  <c r="B26"/>
  <c r="EV25"/>
  <c r="EV24"/>
  <c r="EV23"/>
  <c r="EV22"/>
  <c r="EV21"/>
  <c r="EV20"/>
  <c r="EV19"/>
  <c r="EV18"/>
  <c r="EV17"/>
  <c r="EV16"/>
  <c r="EV15"/>
  <c r="EV14"/>
  <c r="EV13"/>
  <c r="EV12"/>
  <c r="EV11"/>
  <c r="EV10"/>
  <c r="EV9"/>
  <c r="EV8"/>
  <c r="EV7"/>
  <c r="EV6"/>
  <c r="EV5"/>
  <c r="EV4"/>
  <c r="EV3"/>
  <c r="EV2"/>
  <c r="I53" i="3" l="1"/>
  <c r="I56" s="1"/>
  <c r="I64" s="1"/>
  <c r="I65" s="1"/>
  <c r="FE15" s="1"/>
  <c r="C56"/>
  <c r="EX13"/>
  <c r="EW27"/>
  <c r="FB5"/>
  <c r="J56" l="1"/>
  <c r="C64"/>
  <c r="C65" s="1"/>
  <c r="FB15" s="1"/>
  <c r="FE5"/>
  <c r="EY13"/>
  <c r="FB14" l="1"/>
  <c r="FE14" s="1"/>
  <c r="J64"/>
  <c r="FE11"/>
  <c r="FE13"/>
  <c r="FD65" i="9" s="1"/>
  <c r="FD66" s="1"/>
  <c r="EV27" i="3" l="1"/>
  <c r="FB18" s="1"/>
  <c r="EX36" l="1"/>
  <c r="FA65" i="9"/>
  <c r="FA66" s="1"/>
  <c r="EU66" s="1"/>
  <c r="FB13" i="3"/>
  <c r="EV41" i="9" l="1"/>
</calcChain>
</file>

<file path=xl/comments1.xml><?xml version="1.0" encoding="utf-8"?>
<comments xmlns="http://schemas.openxmlformats.org/spreadsheetml/2006/main">
  <authors>
    <author>pillet</author>
  </authors>
  <commentList>
    <comment ref="A23" authorId="0">
      <text>
        <r>
          <rPr>
            <b/>
            <sz val="8"/>
            <color indexed="81"/>
            <rFont val="Tahoma"/>
            <family val="2"/>
          </rPr>
          <t>pillet:</t>
        </r>
        <r>
          <rPr>
            <sz val="8"/>
            <color indexed="81"/>
            <rFont val="Tahoma"/>
            <family val="2"/>
          </rPr>
          <t xml:space="preserve">
Des 2015-intégration en bloc des heures productives informatique annoncées par MM</t>
        </r>
      </text>
    </comment>
    <comment ref="Z24" authorId="0">
      <text>
        <r>
          <rPr>
            <b/>
            <sz val="8"/>
            <color indexed="81"/>
            <rFont val="Tahoma"/>
            <family val="2"/>
          </rPr>
          <t>pillet:</t>
        </r>
        <r>
          <rPr>
            <sz val="8"/>
            <color indexed="81"/>
            <rFont val="Tahoma"/>
            <family val="2"/>
          </rPr>
          <t xml:space="preserve">
sept-oct : 88.5 ; nov 70,5 ; déc 36.40</t>
        </r>
      </text>
    </comment>
    <comment ref="C60" authorId="0">
      <text>
        <r>
          <rPr>
            <b/>
            <sz val="8"/>
            <color indexed="81"/>
            <rFont val="Tahoma"/>
            <family val="2"/>
          </rPr>
          <t>pillet:</t>
        </r>
        <r>
          <rPr>
            <sz val="8"/>
            <color indexed="81"/>
            <rFont val="Tahoma"/>
            <family val="2"/>
          </rPr>
          <t xml:space="preserve">
voir décompte dans 2014-TRIM-braille</t>
        </r>
      </text>
    </comment>
    <comment ref="B79" authorId="0">
      <text>
        <r>
          <rPr>
            <b/>
            <sz val="8"/>
            <color indexed="81"/>
            <rFont val="Tahoma"/>
            <family val="2"/>
          </rPr>
          <t>pillet:</t>
        </r>
        <r>
          <rPr>
            <sz val="8"/>
            <color indexed="81"/>
            <rFont val="Tahoma"/>
            <family val="2"/>
          </rPr>
          <t xml:space="preserve">
hors Boulsa qui n'est pas une prod pour la BBR</t>
        </r>
      </text>
    </comment>
  </commentList>
</comments>
</file>

<file path=xl/comments2.xml><?xml version="1.0" encoding="utf-8"?>
<comments xmlns="http://schemas.openxmlformats.org/spreadsheetml/2006/main">
  <authors>
    <author>pillet</author>
  </authors>
  <commentList>
    <comment ref="AP2" authorId="0">
      <text>
        <r>
          <rPr>
            <b/>
            <sz val="8"/>
            <color indexed="81"/>
            <rFont val="Tahoma"/>
            <family val="2"/>
          </rPr>
          <t>pillet:</t>
        </r>
        <r>
          <rPr>
            <sz val="8"/>
            <color indexed="81"/>
            <rFont val="Tahoma"/>
            <family val="2"/>
          </rPr>
          <t xml:space="preserve">
report des heures 78</t>
        </r>
      </text>
    </comment>
    <comment ref="BA3" authorId="0">
      <text>
        <r>
          <rPr>
            <b/>
            <sz val="8"/>
            <color indexed="81"/>
            <rFont val="Tahoma"/>
            <family val="2"/>
          </rPr>
          <t>pillet:</t>
        </r>
        <r>
          <rPr>
            <sz val="8"/>
            <color indexed="81"/>
            <rFont val="Tahoma"/>
            <family val="2"/>
          </rPr>
          <t xml:space="preserve">
avec report 78</t>
        </r>
      </text>
    </comment>
    <comment ref="B4" authorId="0">
      <text>
        <r>
          <rPr>
            <b/>
            <sz val="8"/>
            <color indexed="81"/>
            <rFont val="Tahoma"/>
            <family val="2"/>
          </rPr>
          <t>pillet:</t>
        </r>
        <r>
          <rPr>
            <sz val="8"/>
            <color indexed="81"/>
            <rFont val="Tahoma"/>
            <family val="2"/>
          </rPr>
          <t xml:space="preserve">
avec report 78</t>
        </r>
      </text>
    </comment>
    <comment ref="B5" authorId="0">
      <text>
        <r>
          <rPr>
            <b/>
            <sz val="8"/>
            <color indexed="81"/>
            <rFont val="Tahoma"/>
            <family val="2"/>
          </rPr>
          <t>pillet:</t>
        </r>
        <r>
          <rPr>
            <sz val="8"/>
            <color indexed="81"/>
            <rFont val="Tahoma"/>
            <family val="2"/>
          </rPr>
          <t xml:space="preserve">
report 78</t>
        </r>
      </text>
    </comment>
    <comment ref="AD6" authorId="0">
      <text>
        <r>
          <rPr>
            <b/>
            <sz val="8"/>
            <color indexed="81"/>
            <rFont val="Tahoma"/>
            <family val="2"/>
          </rPr>
          <t>pillet:</t>
        </r>
        <r>
          <rPr>
            <sz val="8"/>
            <color indexed="81"/>
            <rFont val="Tahoma"/>
            <family val="2"/>
          </rPr>
          <t xml:space="preserve">
avec report 78</t>
        </r>
      </text>
    </comment>
    <comment ref="AD7" authorId="0">
      <text>
        <r>
          <rPr>
            <b/>
            <sz val="8"/>
            <color indexed="81"/>
            <rFont val="Tahoma"/>
            <family val="2"/>
          </rPr>
          <t>pillet:</t>
        </r>
        <r>
          <rPr>
            <sz val="8"/>
            <color indexed="81"/>
            <rFont val="Tahoma"/>
            <family val="2"/>
          </rPr>
          <t xml:space="preserve">
avec report 78</t>
        </r>
      </text>
    </comment>
    <comment ref="AP8" authorId="0">
      <text>
        <r>
          <rPr>
            <b/>
            <sz val="8"/>
            <color indexed="81"/>
            <rFont val="Tahoma"/>
            <family val="2"/>
          </rPr>
          <t>pillet:</t>
        </r>
        <r>
          <rPr>
            <sz val="8"/>
            <color indexed="81"/>
            <rFont val="Tahoma"/>
            <family val="2"/>
          </rPr>
          <t xml:space="preserve">
avec report 78</t>
        </r>
      </text>
    </comment>
    <comment ref="B9" authorId="0">
      <text>
        <r>
          <rPr>
            <b/>
            <sz val="8"/>
            <color indexed="81"/>
            <rFont val="Tahoma"/>
            <family val="2"/>
          </rPr>
          <t>pillet:</t>
        </r>
        <r>
          <rPr>
            <sz val="8"/>
            <color indexed="81"/>
            <rFont val="Tahoma"/>
            <family val="2"/>
          </rPr>
          <t xml:space="preserve">
avec report 50% 78</t>
        </r>
      </text>
    </comment>
    <comment ref="AP10" authorId="0">
      <text>
        <r>
          <rPr>
            <b/>
            <sz val="8"/>
            <color indexed="81"/>
            <rFont val="Tahoma"/>
            <family val="2"/>
          </rPr>
          <t>pillet:</t>
        </r>
        <r>
          <rPr>
            <sz val="8"/>
            <color indexed="81"/>
            <rFont val="Tahoma"/>
            <family val="2"/>
          </rPr>
          <t xml:space="preserve">
avec report 78</t>
        </r>
      </text>
    </comment>
    <comment ref="AD11" authorId="0">
      <text>
        <r>
          <rPr>
            <b/>
            <sz val="8"/>
            <color indexed="81"/>
            <rFont val="Tahoma"/>
            <family val="2"/>
          </rPr>
          <t>pillet:</t>
        </r>
        <r>
          <rPr>
            <sz val="8"/>
            <color indexed="81"/>
            <rFont val="Tahoma"/>
            <family val="2"/>
          </rPr>
          <t xml:space="preserve">
avec report 78</t>
        </r>
      </text>
    </comment>
    <comment ref="AD12" authorId="0">
      <text>
        <r>
          <rPr>
            <b/>
            <sz val="8"/>
            <color indexed="81"/>
            <rFont val="Tahoma"/>
            <family val="2"/>
          </rPr>
          <t>pillet:</t>
        </r>
        <r>
          <rPr>
            <sz val="8"/>
            <color indexed="81"/>
            <rFont val="Tahoma"/>
            <family val="2"/>
          </rPr>
          <t xml:space="preserve">
avec report 50% 78</t>
        </r>
      </text>
    </comment>
    <comment ref="B13" authorId="0">
      <text>
        <r>
          <rPr>
            <b/>
            <sz val="8"/>
            <color indexed="81"/>
            <rFont val="Tahoma"/>
            <family val="2"/>
          </rPr>
          <t>pillet:</t>
        </r>
        <r>
          <rPr>
            <sz val="8"/>
            <color indexed="81"/>
            <rFont val="Tahoma"/>
            <family val="2"/>
          </rPr>
          <t xml:space="preserve">
avec report 78</t>
        </r>
      </text>
    </comment>
    <comment ref="AD14" authorId="0">
      <text>
        <r>
          <rPr>
            <b/>
            <sz val="8"/>
            <color indexed="81"/>
            <rFont val="Tahoma"/>
            <family val="2"/>
          </rPr>
          <t>pillet:</t>
        </r>
        <r>
          <rPr>
            <sz val="8"/>
            <color indexed="81"/>
            <rFont val="Tahoma"/>
            <family val="2"/>
          </rPr>
          <t xml:space="preserve">
avec report 78</t>
        </r>
      </text>
    </comment>
    <comment ref="B15" authorId="0">
      <text>
        <r>
          <rPr>
            <b/>
            <sz val="8"/>
            <color indexed="81"/>
            <rFont val="Tahoma"/>
            <family val="2"/>
          </rPr>
          <t>pillet:</t>
        </r>
        <r>
          <rPr>
            <sz val="8"/>
            <color indexed="81"/>
            <rFont val="Tahoma"/>
            <family val="2"/>
          </rPr>
          <t xml:space="preserve">
avec report 78</t>
        </r>
      </text>
    </comment>
    <comment ref="AD16" authorId="0">
      <text>
        <r>
          <rPr>
            <b/>
            <sz val="8"/>
            <color indexed="81"/>
            <rFont val="Tahoma"/>
            <family val="2"/>
          </rPr>
          <t>pillet:</t>
        </r>
        <r>
          <rPr>
            <sz val="8"/>
            <color indexed="81"/>
            <rFont val="Tahoma"/>
            <family val="2"/>
          </rPr>
          <t xml:space="preserve">
avec report 78</t>
        </r>
      </text>
    </comment>
    <comment ref="AD18" authorId="0">
      <text>
        <r>
          <rPr>
            <b/>
            <sz val="8"/>
            <color indexed="81"/>
            <rFont val="Tahoma"/>
            <family val="2"/>
          </rPr>
          <t>pillet:</t>
        </r>
        <r>
          <rPr>
            <sz val="8"/>
            <color indexed="81"/>
            <rFont val="Tahoma"/>
            <family val="2"/>
          </rPr>
          <t xml:space="preserve">
report partiel 78</t>
        </r>
      </text>
    </comment>
    <comment ref="AP18" authorId="0">
      <text>
        <r>
          <rPr>
            <b/>
            <sz val="8"/>
            <color indexed="81"/>
            <rFont val="Tahoma"/>
            <family val="2"/>
          </rPr>
          <t>pillet:</t>
        </r>
        <r>
          <rPr>
            <sz val="8"/>
            <color indexed="81"/>
            <rFont val="Tahoma"/>
            <family val="2"/>
          </rPr>
          <t xml:space="preserve">
report partiel 78</t>
        </r>
      </text>
    </comment>
    <comment ref="BA18" authorId="0">
      <text>
        <r>
          <rPr>
            <b/>
            <sz val="8"/>
            <color indexed="81"/>
            <rFont val="Tahoma"/>
            <family val="2"/>
          </rPr>
          <t>pillet:</t>
        </r>
        <r>
          <rPr>
            <sz val="8"/>
            <color indexed="81"/>
            <rFont val="Tahoma"/>
            <family val="2"/>
          </rPr>
          <t xml:space="preserve">
report partiel 78</t>
        </r>
      </text>
    </comment>
    <comment ref="AD19" authorId="0">
      <text>
        <r>
          <rPr>
            <b/>
            <sz val="8"/>
            <color indexed="81"/>
            <rFont val="Tahoma"/>
            <family val="2"/>
          </rPr>
          <t>pillet:</t>
        </r>
        <r>
          <rPr>
            <sz val="8"/>
            <color indexed="81"/>
            <rFont val="Tahoma"/>
            <family val="2"/>
          </rPr>
          <t xml:space="preserve">
avec report 50% du 78</t>
        </r>
      </text>
    </comment>
    <comment ref="BK20" authorId="0">
      <text>
        <r>
          <rPr>
            <b/>
            <sz val="8"/>
            <color indexed="81"/>
            <rFont val="Tahoma"/>
            <family val="2"/>
          </rPr>
          <t>pillet:</t>
        </r>
        <r>
          <rPr>
            <sz val="8"/>
            <color indexed="81"/>
            <rFont val="Tahoma"/>
            <family val="2"/>
          </rPr>
          <t xml:space="preserve">
avec report 78</t>
        </r>
      </text>
    </comment>
    <comment ref="AP21" authorId="0">
      <text>
        <r>
          <rPr>
            <b/>
            <sz val="8"/>
            <color indexed="81"/>
            <rFont val="Tahoma"/>
            <family val="2"/>
          </rPr>
          <t>pillet:</t>
        </r>
        <r>
          <rPr>
            <sz val="8"/>
            <color indexed="81"/>
            <rFont val="Tahoma"/>
            <family val="2"/>
          </rPr>
          <t xml:space="preserve">
avec report 50% du 78</t>
        </r>
      </text>
    </comment>
    <comment ref="BK22" authorId="0">
      <text>
        <r>
          <rPr>
            <b/>
            <sz val="8"/>
            <color indexed="81"/>
            <rFont val="Tahoma"/>
            <family val="2"/>
          </rPr>
          <t>pillet:</t>
        </r>
        <r>
          <rPr>
            <sz val="8"/>
            <color indexed="81"/>
            <rFont val="Tahoma"/>
            <family val="2"/>
          </rPr>
          <t xml:space="preserve">
avec report 78</t>
        </r>
      </text>
    </comment>
    <comment ref="Z24" authorId="0">
      <text>
        <r>
          <rPr>
            <b/>
            <sz val="8"/>
            <color indexed="81"/>
            <rFont val="Tahoma"/>
            <family val="2"/>
          </rPr>
          <t>pillet:</t>
        </r>
        <r>
          <rPr>
            <sz val="8"/>
            <color indexed="81"/>
            <rFont val="Tahoma"/>
            <family val="2"/>
          </rPr>
          <t xml:space="preserve">
sept-oct : 88.5 ; nov 70,5 ; déc 36.40</t>
        </r>
      </text>
    </comment>
    <comment ref="CB32" authorId="0">
      <text>
        <r>
          <rPr>
            <b/>
            <sz val="8"/>
            <color indexed="81"/>
            <rFont val="Tahoma"/>
            <family val="2"/>
          </rPr>
          <t>pillet:</t>
        </r>
        <r>
          <rPr>
            <sz val="8"/>
            <color indexed="81"/>
            <rFont val="Tahoma"/>
            <family val="2"/>
          </rPr>
          <t xml:space="preserve">
heures des responsables à moitié, le reste étant reporté sur la gestion de l'activité propre à leur secteur ; AP = 100% reporté</t>
        </r>
      </text>
    </comment>
  </commentList>
</comments>
</file>

<file path=xl/comments3.xml><?xml version="1.0" encoding="utf-8"?>
<comments xmlns="http://schemas.openxmlformats.org/spreadsheetml/2006/main">
  <authors>
    <author>pillet</author>
  </authors>
  <commentList>
    <comment ref="D20" authorId="0">
      <text>
        <r>
          <rPr>
            <b/>
            <sz val="8"/>
            <color indexed="81"/>
            <rFont val="Tahoma"/>
            <family val="2"/>
          </rPr>
          <t>pillet:</t>
        </r>
        <r>
          <rPr>
            <sz val="8"/>
            <color indexed="81"/>
            <rFont val="Tahoma"/>
            <family val="2"/>
          </rPr>
          <t xml:space="preserve">
voir dans Digibook et évaluer avec les technos</t>
        </r>
      </text>
    </comment>
    <comment ref="D45" authorId="0">
      <text>
        <r>
          <rPr>
            <b/>
            <sz val="8"/>
            <color indexed="81"/>
            <rFont val="Tahoma"/>
            <family val="2"/>
          </rPr>
          <t>pillet:</t>
        </r>
        <r>
          <rPr>
            <sz val="8"/>
            <color indexed="81"/>
            <rFont val="Tahoma"/>
            <family val="2"/>
          </rPr>
          <t xml:space="preserve">
document OFAS : donner le nombre de titres et non pas le nombre d'heures comme pour la production interne</t>
        </r>
      </text>
    </comment>
  </commentList>
</comments>
</file>

<file path=xl/sharedStrings.xml><?xml version="1.0" encoding="utf-8"?>
<sst xmlns="http://schemas.openxmlformats.org/spreadsheetml/2006/main" count="7299" uniqueCount="2714">
  <si>
    <t>Collaborateur</t>
  </si>
  <si>
    <t>Anderfuhren Sandrine</t>
  </si>
  <si>
    <t>Baratti Graziano</t>
  </si>
  <si>
    <t>Bolay Valérie</t>
  </si>
  <si>
    <t>Castello Donja</t>
  </si>
  <si>
    <t>Chatelain Antonin</t>
  </si>
  <si>
    <t>Chatenoux Didier</t>
  </si>
  <si>
    <t>Cosandey Philippe</t>
  </si>
  <si>
    <t>Dos Santos Martins Carlos</t>
  </si>
  <si>
    <t>Favre Corinne</t>
  </si>
  <si>
    <t>Fleuret Thi Hanh</t>
  </si>
  <si>
    <t>Galley Laurent</t>
  </si>
  <si>
    <t>Geuggis Gilles</t>
  </si>
  <si>
    <t>Harth Eric</t>
  </si>
  <si>
    <t>Holenweg Pascale</t>
  </si>
  <si>
    <t>Kuhn Christian</t>
  </si>
  <si>
    <t>Leon Gabriel</t>
  </si>
  <si>
    <t>Merzouk Séverine</t>
  </si>
  <si>
    <t>Meyrat Jean-Marc</t>
  </si>
  <si>
    <t>Othenin Roberto</t>
  </si>
  <si>
    <t>Paul Bertram</t>
  </si>
  <si>
    <t>Pillet Anne</t>
  </si>
  <si>
    <t>Rérat Cédric</t>
  </si>
  <si>
    <t>Rossier Christophe</t>
  </si>
  <si>
    <t>Vukanovic Natasha</t>
  </si>
  <si>
    <t>Walter Gamila</t>
  </si>
  <si>
    <t>Boulsa Bénévolat</t>
  </si>
  <si>
    <t>CIR Bibliothécaire</t>
  </si>
  <si>
    <t>Etudiant Temporaire</t>
  </si>
  <si>
    <t>Klappenbach Sacsahuaman</t>
  </si>
  <si>
    <t>reliure bénévoles</t>
  </si>
  <si>
    <t>Tempo Audio</t>
  </si>
  <si>
    <t>Tempo Braille</t>
  </si>
  <si>
    <t>Total</t>
  </si>
  <si>
    <t>11C</t>
  </si>
  <si>
    <t>11N</t>
  </si>
  <si>
    <t>11NC</t>
  </si>
  <si>
    <t>11S</t>
  </si>
  <si>
    <t>12C</t>
  </si>
  <si>
    <t>12S</t>
  </si>
  <si>
    <t>13B</t>
  </si>
  <si>
    <t>13C</t>
  </si>
  <si>
    <t>13D</t>
  </si>
  <si>
    <t>14B</t>
  </si>
  <si>
    <t>14D</t>
  </si>
  <si>
    <t>16A</t>
  </si>
  <si>
    <t>16N</t>
  </si>
  <si>
    <t>17E</t>
  </si>
  <si>
    <t>18E</t>
  </si>
  <si>
    <t>18I</t>
  </si>
  <si>
    <t>1BBR-B</t>
  </si>
  <si>
    <t>2BBR</t>
  </si>
  <si>
    <t>41N</t>
  </si>
  <si>
    <t>42N</t>
  </si>
  <si>
    <t>43N</t>
  </si>
  <si>
    <t>46C</t>
  </si>
  <si>
    <t>46F</t>
  </si>
  <si>
    <t>46N</t>
  </si>
  <si>
    <t>47E</t>
  </si>
  <si>
    <t>55A</t>
  </si>
  <si>
    <t>55E</t>
  </si>
  <si>
    <t>55F</t>
  </si>
  <si>
    <t>5I</t>
  </si>
  <si>
    <t>64A</t>
  </si>
  <si>
    <t>65A</t>
  </si>
  <si>
    <t>65B</t>
  </si>
  <si>
    <t>69P</t>
  </si>
  <si>
    <t>6DI</t>
  </si>
  <si>
    <t>6I</t>
  </si>
  <si>
    <t>72CH</t>
  </si>
  <si>
    <t>72I</t>
  </si>
  <si>
    <t>73F</t>
  </si>
  <si>
    <t>76A</t>
  </si>
  <si>
    <t>76B</t>
  </si>
  <si>
    <t>7I</t>
  </si>
  <si>
    <t>A</t>
  </si>
  <si>
    <t>A1</t>
  </si>
  <si>
    <t>A13CAL</t>
  </si>
  <si>
    <t>A13RA</t>
  </si>
  <si>
    <t>A14</t>
  </si>
  <si>
    <t>A16A</t>
  </si>
  <si>
    <t>A16ARA</t>
  </si>
  <si>
    <t>A1CAL</t>
  </si>
  <si>
    <t>A1RA</t>
  </si>
  <si>
    <t>A7CAL</t>
  </si>
  <si>
    <t>A7RA</t>
  </si>
  <si>
    <t>A7S</t>
  </si>
  <si>
    <t>B1</t>
  </si>
  <si>
    <t>C</t>
  </si>
  <si>
    <t>C1</t>
  </si>
  <si>
    <t>C13</t>
  </si>
  <si>
    <t>C7</t>
  </si>
  <si>
    <t>C73</t>
  </si>
  <si>
    <t>CCA24</t>
  </si>
  <si>
    <t>F</t>
  </si>
  <si>
    <t>F1</t>
  </si>
  <si>
    <t>F13</t>
  </si>
  <si>
    <t>F13A</t>
  </si>
  <si>
    <t>F13B</t>
  </si>
  <si>
    <t>F13CO</t>
  </si>
  <si>
    <t>F13FSA</t>
  </si>
  <si>
    <t>F14A</t>
  </si>
  <si>
    <t>F1B</t>
  </si>
  <si>
    <t>F1CO</t>
  </si>
  <si>
    <t>F1FSA</t>
  </si>
  <si>
    <t>F1VG</t>
  </si>
  <si>
    <t>F4VG</t>
  </si>
  <si>
    <t>F7</t>
  </si>
  <si>
    <t>F7A</t>
  </si>
  <si>
    <t>F7CO</t>
  </si>
  <si>
    <t>F7VG</t>
  </si>
  <si>
    <t>I</t>
  </si>
  <si>
    <t>M</t>
  </si>
  <si>
    <t>P</t>
  </si>
  <si>
    <t>P1</t>
  </si>
  <si>
    <t>P1A</t>
  </si>
  <si>
    <t>P1EP</t>
  </si>
  <si>
    <t>P1R</t>
  </si>
  <si>
    <t>P1VF</t>
  </si>
  <si>
    <t>P4</t>
  </si>
  <si>
    <t>P4EP</t>
  </si>
  <si>
    <t>P4SD</t>
  </si>
  <si>
    <t>P4VF</t>
  </si>
  <si>
    <t>P51</t>
  </si>
  <si>
    <t>P5BV</t>
  </si>
  <si>
    <t>P5EP</t>
  </si>
  <si>
    <t>P5P</t>
  </si>
  <si>
    <t>P5T</t>
  </si>
  <si>
    <t>P6A</t>
  </si>
  <si>
    <t>P6BT</t>
  </si>
  <si>
    <t>P6BV</t>
  </si>
  <si>
    <t>P6P</t>
  </si>
  <si>
    <t>P6T</t>
  </si>
  <si>
    <t>P6Z</t>
  </si>
  <si>
    <t>P72A</t>
  </si>
  <si>
    <t>P7C</t>
  </si>
  <si>
    <t>P7COM</t>
  </si>
  <si>
    <t>P7P</t>
  </si>
  <si>
    <t>P7R</t>
  </si>
  <si>
    <t>P7VF</t>
  </si>
  <si>
    <t>V</t>
  </si>
  <si>
    <t>V1</t>
  </si>
  <si>
    <t>V4G</t>
  </si>
  <si>
    <t>Z</t>
  </si>
  <si>
    <t>Hors heures des professionnels de bibliothèque</t>
  </si>
  <si>
    <t>Heures pour travail AI</t>
  </si>
  <si>
    <t>rien en 2014, se valide en recherchant les codes AI dans la première ligne du tableau</t>
  </si>
  <si>
    <t>Pour info :</t>
  </si>
  <si>
    <t>Explication des couleurs :</t>
  </si>
  <si>
    <t>Totaux</t>
  </si>
  <si>
    <t>Payés à l'heure</t>
  </si>
  <si>
    <t>Handicapés de la vue</t>
  </si>
  <si>
    <t>Travaux bénévoles hors saisie des heures travaillées à la BBR</t>
  </si>
  <si>
    <t>Luc Fontoliet</t>
  </si>
  <si>
    <t>Ligne pour vérification des totaux et calculs divers (copier  et collage spécial - valeur, de la ligne précédente)</t>
  </si>
  <si>
    <t xml:space="preserve">Pour les salariés mensualisés : 1 plein temps = </t>
  </si>
  <si>
    <t>total des heures payées sur salaire mensuel :</t>
  </si>
  <si>
    <t>postes à plein temps =</t>
  </si>
  <si>
    <t xml:space="preserve">Pour les salariés payés à l'heure : 1 plein temps = </t>
  </si>
  <si>
    <t>total des heures payées sur salaire horaire :</t>
  </si>
  <si>
    <t>pour vérif</t>
  </si>
  <si>
    <t>Total des activités</t>
  </si>
  <si>
    <t>Professionnels :</t>
  </si>
  <si>
    <t>Bénévoles (cf RA ABA) :</t>
  </si>
  <si>
    <t>soit Z, V, P, M, F, C, A</t>
  </si>
  <si>
    <t>Heures pour administration/overhead</t>
  </si>
  <si>
    <t xml:space="preserve">A évaluer annuellement (cf circulaire </t>
  </si>
  <si>
    <t>R:\COLLABORATIONS_(nationales)\Groupe-des-bibliotheques-suisses(ex_Consortium)\Reportint-controling\comment-decompter-Precisions apres visites des bibliotheques 2015.docx</t>
  </si>
  <si>
    <t xml:space="preserve">Cf doc de fonctionnement </t>
  </si>
  <si>
    <t>..\Explications données du reporting 2015-2018 V 16.11.2015.docx</t>
  </si>
  <si>
    <t>Pour 2015, considérer 2088 (cf heures dues de CR à 100%)</t>
  </si>
  <si>
    <t>Heures "absences payées" (vacances…)</t>
  </si>
  <si>
    <t>Heures absences payées</t>
  </si>
  <si>
    <t>pour sauvegarde</t>
  </si>
  <si>
    <t xml:space="preserve">Détails pour évaluation de la production des Bénévoles : </t>
  </si>
  <si>
    <t>Calcul du travail des bénévoles</t>
  </si>
  <si>
    <t xml:space="preserve">Pour les bénévoles : 1 plein temps = </t>
  </si>
  <si>
    <t>Reliure + commission BBR :</t>
  </si>
  <si>
    <t>dames reliure+envoi cat</t>
  </si>
  <si>
    <t>Boulsa</t>
  </si>
  <si>
    <t>Bénévoles commission BBR</t>
  </si>
  <si>
    <t>Total commBBR + reliure</t>
  </si>
  <si>
    <t>postes</t>
  </si>
  <si>
    <t>pour validation total I46</t>
  </si>
  <si>
    <t>Production :</t>
  </si>
  <si>
    <t>Livre Parlé (numérique)</t>
  </si>
  <si>
    <t>soit heures enregistrées x 3.0</t>
  </si>
  <si>
    <t>soit :</t>
  </si>
  <si>
    <t>Braille</t>
  </si>
  <si>
    <t>soit pour les bénévoles chaque page braille x 0.09</t>
  </si>
  <si>
    <t>Total production</t>
  </si>
  <si>
    <t>pour validation total I52</t>
  </si>
  <si>
    <t>Total général du  bénévolat</t>
  </si>
  <si>
    <t>pour validation total I54</t>
  </si>
  <si>
    <t>LP : compter le nombre d'heures produites et le transformer en heures travaillées (CD x 3.0)</t>
  </si>
  <si>
    <t>en décimal</t>
  </si>
  <si>
    <t>CD- enregistrés BBR + votations... (voir feuille prod audio)</t>
  </si>
  <si>
    <t>heures pour enregistrements de CD (=heures x3)</t>
  </si>
  <si>
    <t>CD- BSR + partenaires</t>
  </si>
  <si>
    <t>CD-retraitement anciennes cass BBR+ commerce (=daisyfication)</t>
  </si>
  <si>
    <t>Prod synthèse vocale</t>
  </si>
  <si>
    <t>Braille : compter le nombre de pages braille produites par les bénévoles (xxx-TRIM.xls de la prod) et le transformer en heures travaillées ( 1p. Braille x 0.09)</t>
  </si>
  <si>
    <t>heures de transcription par les bénévoles (en décimal)</t>
  </si>
  <si>
    <t>Récapitulatif général :</t>
  </si>
  <si>
    <t>Chiffres de digibook</t>
  </si>
  <si>
    <t>NetBib</t>
  </si>
  <si>
    <t>MOT de pass pour modif des cellules protégées = OFAS</t>
  </si>
  <si>
    <t>titres</t>
  </si>
  <si>
    <t>heures</t>
  </si>
  <si>
    <t>minutes</t>
  </si>
  <si>
    <t>remarques et usage dans la stat ofas</t>
  </si>
  <si>
    <t>Adjonction totale au catalogue</t>
  </si>
  <si>
    <t>pour validation avec les extractions NetBiblio</t>
  </si>
  <si>
    <t>soit</t>
  </si>
  <si>
    <t>XX</t>
  </si>
  <si>
    <t>!!! En cas de légère différence entre l'info Digibook et NetBiblio, les infos retenues sont celles de NetBiblio. Si la différence est importante, en trouver la source</t>
  </si>
  <si>
    <t>repiquage anciens enregistrements conservés nouvellement ajoutés à la collection</t>
  </si>
  <si>
    <r>
      <t>Total prod BBR (</t>
    </r>
    <r>
      <rPr>
        <sz val="10"/>
        <color rgb="FFFF0000"/>
        <rFont val="Arial"/>
        <family val="2"/>
      </rPr>
      <t>stu+domicile</t>
    </r>
    <r>
      <rPr>
        <b/>
        <sz val="10"/>
        <rFont val="Arial"/>
        <family val="2"/>
      </rPr>
      <t>) :</t>
    </r>
  </si>
  <si>
    <r>
      <t xml:space="preserve">à compter dans les </t>
    </r>
    <r>
      <rPr>
        <b/>
        <sz val="10"/>
        <color theme="3" tint="-0.249977111117893"/>
        <rFont val="Arial"/>
        <family val="2"/>
      </rPr>
      <t>heures produites par la BBR</t>
    </r>
    <r>
      <rPr>
        <sz val="10"/>
        <color indexed="10"/>
        <rFont val="Arial"/>
        <family val="2"/>
      </rPr>
      <t xml:space="preserve"> et  utiliser pour évaluer le temps de travail des bénévoles dans le fichier excel extrait de la saisie des heures (heures produites x 3)</t>
    </r>
  </si>
  <si>
    <t>studio</t>
  </si>
  <si>
    <t>domicile</t>
  </si>
  <si>
    <r>
      <t>Total copies commerce daisyfiées (</t>
    </r>
    <r>
      <rPr>
        <sz val="10"/>
        <color rgb="FFFF0000"/>
        <rFont val="Arial"/>
        <family val="2"/>
      </rPr>
      <t>=commerce seul</t>
    </r>
    <r>
      <rPr>
        <b/>
        <sz val="10"/>
        <rFont val="Arial"/>
        <family val="2"/>
      </rPr>
      <t>)</t>
    </r>
  </si>
  <si>
    <r>
      <t xml:space="preserve">à </t>
    </r>
    <r>
      <rPr>
        <b/>
        <sz val="10"/>
        <color theme="3" tint="-0.249977111117893"/>
        <rFont val="Arial"/>
        <family val="2"/>
      </rPr>
      <t>ajouter aux heures produites par la BBR</t>
    </r>
    <r>
      <rPr>
        <sz val="10"/>
        <color indexed="10"/>
        <rFont val="Arial"/>
        <family val="2"/>
      </rPr>
      <t>, idem gros travaux de daisyfication, si très petit, les intégrer simplement dans le total de la prod BBR tel que provenant de Digibook</t>
    </r>
  </si>
  <si>
    <r>
      <t>Total copies hors prod BBR (</t>
    </r>
    <r>
      <rPr>
        <sz val="10"/>
        <color rgb="FFFF0000"/>
        <rFont val="Arial"/>
        <family val="2"/>
      </rPr>
      <t>BSR-LBB…-hors commerce</t>
    </r>
    <r>
      <rPr>
        <b/>
        <sz val="10"/>
        <rFont val="Arial"/>
        <family val="2"/>
      </rPr>
      <t>)</t>
    </r>
  </si>
  <si>
    <r>
      <t xml:space="preserve">ne comptabiliser que comme des </t>
    </r>
    <r>
      <rPr>
        <b/>
        <sz val="10"/>
        <color theme="3" tint="-0.249977111117893"/>
        <rFont val="Arial"/>
        <family val="2"/>
      </rPr>
      <t xml:space="preserve">heure de copies </t>
    </r>
    <r>
      <rPr>
        <sz val="10"/>
        <color indexed="10"/>
        <rFont val="Arial"/>
        <family val="2"/>
      </rPr>
      <t>dans entretien ancienne collection</t>
    </r>
  </si>
  <si>
    <t>Productions diverses</t>
  </si>
  <si>
    <t>Total daisyfication et redaisyfication (de Digibook) qui ne sont pas annoncés dans le catalogue car déjà signalés sous forme de cassette</t>
  </si>
  <si>
    <r>
      <t xml:space="preserve">DANS LA STAT OFAS : à ajouter aux </t>
    </r>
    <r>
      <rPr>
        <b/>
        <sz val="10"/>
        <color theme="4" tint="-0.249977111117893"/>
        <rFont val="Arial"/>
        <family val="2"/>
      </rPr>
      <t>heures produites par la BBR</t>
    </r>
    <r>
      <rPr>
        <sz val="10"/>
        <color indexed="10"/>
        <rFont val="Arial"/>
        <family val="2"/>
      </rPr>
      <t xml:space="preserve">, dans Digibook "dossiers-DAISIFICATIONS…", </t>
    </r>
    <r>
      <rPr>
        <b/>
        <sz val="10"/>
        <color theme="3" tint="-0.249977111117893"/>
        <rFont val="Arial"/>
        <family val="2"/>
      </rPr>
      <t>n'inclut pas les les copies du commerce</t>
    </r>
    <r>
      <rPr>
        <sz val="10"/>
        <color indexed="10"/>
        <rFont val="Arial"/>
        <family val="2"/>
      </rPr>
      <t xml:space="preserve"> qui sont comptabilisées dans "commerce"</t>
    </r>
  </si>
  <si>
    <t xml:space="preserve">Cas particuliers (Digibook) - à évaluer </t>
  </si>
  <si>
    <r>
      <t xml:space="preserve">!!! </t>
    </r>
    <r>
      <rPr>
        <b/>
        <sz val="10"/>
        <color rgb="FFFF0000"/>
        <rFont val="Arial"/>
        <family val="2"/>
      </rPr>
      <t>Synthèse vocale</t>
    </r>
    <r>
      <rPr>
        <sz val="10"/>
        <color rgb="FFFF0000"/>
        <rFont val="Arial"/>
        <family val="2"/>
      </rPr>
      <t xml:space="preserve"> à compter séparément : au cas par cas : 2012</t>
    </r>
  </si>
  <si>
    <t>Votations</t>
  </si>
  <si>
    <t>à compter dans les heures produites par la BBR et  utiliser pour évaluer le temps de travail des bénévoles dans le fichier excel extrait de la saisie des heures (heures XXXX)</t>
  </si>
  <si>
    <t>autre</t>
  </si>
  <si>
    <t>Rapport annuel ABA</t>
  </si>
  <si>
    <t>Calp + catalo thématiques</t>
  </si>
  <si>
    <t>TOTAL prod div</t>
  </si>
  <si>
    <t>Nbr de documents traités par les studios durant l'année</t>
  </si>
  <si>
    <t>Totaux Divers</t>
  </si>
  <si>
    <t>comptabiliser toutes les copies qui se font sur les graveurs et les répartir sur les grilles Ofas en fonction de leurs particularités</t>
  </si>
  <si>
    <t>Productions des bénévoles</t>
  </si>
  <si>
    <t>Prod par BBR (stu+dom+votations+calp)</t>
  </si>
  <si>
    <t>Stud + domicile</t>
  </si>
  <si>
    <t>Pour décompte heures prod bénévoles</t>
  </si>
  <si>
    <t>votations</t>
  </si>
  <si>
    <t>autres</t>
  </si>
  <si>
    <t>RA ABA</t>
  </si>
  <si>
    <t>Pour décompte heures prod bénévoles en fonction du réalisateur des documents de l'année</t>
  </si>
  <si>
    <t xml:space="preserve">cas particuliers </t>
  </si>
  <si>
    <t>Daisyfications et redaisyf. de livres non annoncés comme nouveautés</t>
  </si>
  <si>
    <t>à utiliser pour remplir la stat prod OFAS et compter comme heure produite par la BBR</t>
  </si>
  <si>
    <t>commerce</t>
  </si>
  <si>
    <t>Echanges</t>
  </si>
  <si>
    <t>Copies de l'extérieur sans retouches(LBB…)</t>
  </si>
  <si>
    <t>ne comptabiliser que comme des heure de copies dans entretien ancienne collection</t>
  </si>
  <si>
    <t>Total prod audio</t>
  </si>
  <si>
    <t>Donc :</t>
  </si>
  <si>
    <t>stats ofas, total heures numérisées =</t>
  </si>
  <si>
    <t>dont heures numérisées seulement =</t>
  </si>
  <si>
    <t>stats heures bénévoles =</t>
  </si>
  <si>
    <t>stat ofas, titres produits =</t>
  </si>
  <si>
    <t>dont tites numérisés seulement =</t>
  </si>
  <si>
    <t>No de notice</t>
  </si>
  <si>
    <t>Auteur</t>
  </si>
  <si>
    <t>Titre</t>
  </si>
  <si>
    <t>Nombre de vol./durée</t>
  </si>
  <si>
    <t>Note générale</t>
  </si>
  <si>
    <t>Cote</t>
  </si>
  <si>
    <t>Fournisseur</t>
  </si>
  <si>
    <t>Appartenance</t>
  </si>
  <si>
    <t>7026A100</t>
  </si>
  <si>
    <t>Souvestre, Pierre</t>
  </si>
  <si>
    <t>Fantômas : Le train perdu</t>
  </si>
  <si>
    <t>12 h. 48 min.</t>
  </si>
  <si>
    <t>Jean Barney</t>
  </si>
  <si>
    <t>1.2</t>
  </si>
  <si>
    <t>Audio commerce</t>
  </si>
  <si>
    <t>BBR</t>
  </si>
  <si>
    <t>7037A100</t>
  </si>
  <si>
    <t>Fantômas : Le jockey masqué</t>
  </si>
  <si>
    <t>13 h. 22 min.</t>
  </si>
  <si>
    <t>Michel Raimbault</t>
  </si>
  <si>
    <t>7162A100</t>
  </si>
  <si>
    <t>Gélinet, Patrice</t>
  </si>
  <si>
    <t>La guerre d'Algérie</t>
  </si>
  <si>
    <t>10 h. 57 min.</t>
  </si>
  <si>
    <t>Lecteurs multiples</t>
  </si>
  <si>
    <t>9.93</t>
  </si>
  <si>
    <t>7188A100</t>
  </si>
  <si>
    <t>Terzieff, Laurent</t>
  </si>
  <si>
    <t>Du visible à l'invisible</t>
  </si>
  <si>
    <t>2 h. 34 min.</t>
  </si>
  <si>
    <t>Laurent Terzieff</t>
  </si>
  <si>
    <t>7.1</t>
  </si>
  <si>
    <t>7288A100</t>
  </si>
  <si>
    <t>Gouyon, Pierre-Henri</t>
  </si>
  <si>
    <t>L'évolution</t>
  </si>
  <si>
    <t>1 h. 13 min.</t>
  </si>
  <si>
    <t>Pierre-Henri Gouyon</t>
  </si>
  <si>
    <t>9.57</t>
  </si>
  <si>
    <t>7440A100</t>
  </si>
  <si>
    <t>Burri, Julien</t>
  </si>
  <si>
    <t>Beau à vomir</t>
  </si>
  <si>
    <t>Mme Maryse Winzenried, 2014</t>
  </si>
  <si>
    <t>1.1</t>
  </si>
  <si>
    <t>BBR-studio</t>
  </si>
  <si>
    <t>7454A100</t>
  </si>
  <si>
    <t>Ernaux, Annie</t>
  </si>
  <si>
    <t>Regarde les lumières mon amour</t>
  </si>
  <si>
    <t>1 h. 43 min.</t>
  </si>
  <si>
    <t>Mme Sloane Kersusan, 2015</t>
  </si>
  <si>
    <t>2</t>
  </si>
  <si>
    <t>7507A100</t>
  </si>
  <si>
    <t>Verlaine, Paul</t>
  </si>
  <si>
    <t>L'aube à l'envers et autres poèmes</t>
  </si>
  <si>
    <t>Gérard Desarthe</t>
  </si>
  <si>
    <t>6.3</t>
  </si>
  <si>
    <t>7509A100</t>
  </si>
  <si>
    <t>Marquis, Sarah</t>
  </si>
  <si>
    <t>Sauvage par nature : 3 ans de marche extrême en solitaire de Sibérie en Australie</t>
  </si>
  <si>
    <t>8 h. 20 min.</t>
  </si>
  <si>
    <t>Mme Viviane Gonzalez, 2014</t>
  </si>
  <si>
    <t>5</t>
  </si>
  <si>
    <t>7510A100</t>
  </si>
  <si>
    <t>Gardet, Clarisse</t>
  </si>
  <si>
    <t>Dormez mieux ! : pour en finir avec la fatigue : 4 séances de sophrologie guidées par l'auteur</t>
  </si>
  <si>
    <t>1 h. 38 min.</t>
  </si>
  <si>
    <t>Clarisse Gardet</t>
  </si>
  <si>
    <t>9.61</t>
  </si>
  <si>
    <t>7511A100</t>
  </si>
  <si>
    <t>Halter, Marek</t>
  </si>
  <si>
    <t>L'inconnue de Birobidjan</t>
  </si>
  <si>
    <t>13 h. 34 min.</t>
  </si>
  <si>
    <t>Mme Michèle Roullet, 2014</t>
  </si>
  <si>
    <t>7512A100</t>
  </si>
  <si>
    <t>Leon, Donna</t>
  </si>
  <si>
    <t>[Une enquête du commissaire Brunetti] : L'inconnu du Grand Canal</t>
  </si>
  <si>
    <t>9 h. 59 min.</t>
  </si>
  <si>
    <t>Mme Anne Fauche, 2014</t>
  </si>
  <si>
    <t>7513A100</t>
  </si>
  <si>
    <t>Eriksen, Endre Lund</t>
  </si>
  <si>
    <t>Super</t>
  </si>
  <si>
    <t>5 h. 45 min.</t>
  </si>
  <si>
    <t>Mme Aline Sauter Caillet, 2015</t>
  </si>
  <si>
    <t>1.99</t>
  </si>
  <si>
    <t>BBR-enregistrement à domicile</t>
  </si>
  <si>
    <t>7514A100</t>
  </si>
  <si>
    <t>Decorvet, Anne-Claire</t>
  </si>
  <si>
    <t>L'instant limite : nouvelles</t>
  </si>
  <si>
    <t>6 h. 06 min.</t>
  </si>
  <si>
    <t>Mme Monique Baré, M. Olivier Annen, 2014</t>
  </si>
  <si>
    <t>1.8</t>
  </si>
  <si>
    <t>7515A100</t>
  </si>
  <si>
    <t>Lugon-Moulin, Roland</t>
  </si>
  <si>
    <t>Double schuss</t>
  </si>
  <si>
    <t>8 h. 43 min.</t>
  </si>
  <si>
    <t>M. Serge Kneuss, 2014</t>
  </si>
  <si>
    <t>7516A100</t>
  </si>
  <si>
    <t>Safier, David</t>
  </si>
  <si>
    <t>Sors de ce corps, William ! : roman</t>
  </si>
  <si>
    <t>Mme Mélanie Refine, 2015</t>
  </si>
  <si>
    <t>1.15</t>
  </si>
  <si>
    <t>7517A100</t>
  </si>
  <si>
    <t>Tanizaki, Jun'ichiro</t>
  </si>
  <si>
    <t>Le secret et autres textes</t>
  </si>
  <si>
    <t>4 h. 29 min.</t>
  </si>
  <si>
    <t>Mme Christine Escurriola, 2015</t>
  </si>
  <si>
    <t>7518A100</t>
  </si>
  <si>
    <t>Casadesus, Gisèle</t>
  </si>
  <si>
    <t>100 ans, c'est passé si vite</t>
  </si>
  <si>
    <t>6 h. 05 min.</t>
  </si>
  <si>
    <t>Mme Anne-Marie Scaramuzzi, 2015</t>
  </si>
  <si>
    <t>3</t>
  </si>
  <si>
    <t>7519A100</t>
  </si>
  <si>
    <t>Lévi-Strauss, Monique</t>
  </si>
  <si>
    <t>Une enfance dans la gueule du loup</t>
  </si>
  <si>
    <t>3 h. 57 min.</t>
  </si>
  <si>
    <t>Mme Martine Tavelli, 2015</t>
  </si>
  <si>
    <t>7520A100</t>
  </si>
  <si>
    <t>[Une enquête du commissaire Brunetti] : Deux veuves pour un testament</t>
  </si>
  <si>
    <t>8 h. 42 min.</t>
  </si>
  <si>
    <t>Mme Béatrice Schrenzel, 2015</t>
  </si>
  <si>
    <t>7521A100</t>
  </si>
  <si>
    <t>Cartland, Barbara</t>
  </si>
  <si>
    <t>Un duc à vendre</t>
  </si>
  <si>
    <t>6 h. 44 min.</t>
  </si>
  <si>
    <t>Mme Arabelle Viñolo Kotzinian, 2015</t>
  </si>
  <si>
    <t>1.11</t>
  </si>
  <si>
    <t>7522A100</t>
  </si>
  <si>
    <t>Pigani, Paola</t>
  </si>
  <si>
    <t>N'entre pas dans mon âme avec tes chaussures</t>
  </si>
  <si>
    <t>6 h. 08 min.</t>
  </si>
  <si>
    <t>Mme Lorenza Eder, 2015</t>
  </si>
  <si>
    <t>7523A100</t>
  </si>
  <si>
    <t>Golay, Éric</t>
  </si>
  <si>
    <t>La bague et le bouquetin : chronique hivernale</t>
  </si>
  <si>
    <t>3 h. 03 min.</t>
  </si>
  <si>
    <t>M. Jean-Paul Beer, 2015</t>
  </si>
  <si>
    <t>7524A100</t>
  </si>
  <si>
    <t>Arnaud, Claude</t>
  </si>
  <si>
    <t>Proust contre Cocteau</t>
  </si>
  <si>
    <t>5 h. 19 min.</t>
  </si>
  <si>
    <t>M. Willy Bulliard, 2015</t>
  </si>
  <si>
    <t>9.82</t>
  </si>
  <si>
    <t>7525A100</t>
  </si>
  <si>
    <t>Aymé, Marcel</t>
  </si>
  <si>
    <t>La bonne peinture</t>
  </si>
  <si>
    <t>2 h. 17 min.</t>
  </si>
  <si>
    <t>Mme Pauline Rappaz, 2015</t>
  </si>
  <si>
    <t>7526A100</t>
  </si>
  <si>
    <t>Cavanna, François</t>
  </si>
  <si>
    <t>Pensées et répliques</t>
  </si>
  <si>
    <t>2 h. 38 min.</t>
  </si>
  <si>
    <t>M. Jean-Marc Guinchard, 2015</t>
  </si>
  <si>
    <t>8</t>
  </si>
  <si>
    <t>7527A100</t>
  </si>
  <si>
    <t>Cornwell, Patricia</t>
  </si>
  <si>
    <t>[Kay Scarpetta] : Traînée de poudre</t>
  </si>
  <si>
    <t>13 h. 24 min.</t>
  </si>
  <si>
    <t>Mme Nicole Good Mohnhaupt, 2015</t>
  </si>
  <si>
    <t>7528A100</t>
  </si>
  <si>
    <t>Deville, Patrick</t>
  </si>
  <si>
    <t>Viva : roman</t>
  </si>
  <si>
    <t>8 h. 53 min.</t>
  </si>
  <si>
    <t>M. Paul-André Ramseyer, 2015</t>
  </si>
  <si>
    <t>7529A100</t>
  </si>
  <si>
    <t>Risset, Jacqueline</t>
  </si>
  <si>
    <t>Une certaine joie : essai sur Proust</t>
  </si>
  <si>
    <t>5 h. 48 min.</t>
  </si>
  <si>
    <t>Mme Françoise Canosa, 2015</t>
  </si>
  <si>
    <t>7530A100</t>
  </si>
  <si>
    <t>Divry, Sophie</t>
  </si>
  <si>
    <t>La condition pavillonnaire : roman</t>
  </si>
  <si>
    <t>6 h. 47 min.</t>
  </si>
  <si>
    <t>Mme Carole Extermann, 2015</t>
  </si>
  <si>
    <t>7531A100</t>
  </si>
  <si>
    <t>Barral, René</t>
  </si>
  <si>
    <t>L'enfant secret de la Borie</t>
  </si>
  <si>
    <t>10 h. 39 min.</t>
  </si>
  <si>
    <t>Mme Magnolia Papastratis, 2015</t>
  </si>
  <si>
    <t>1.13</t>
  </si>
  <si>
    <t>7532A100</t>
  </si>
  <si>
    <t>Aymon, Marcel</t>
  </si>
  <si>
    <t>Bois de Sauvabelin, deux heures du matin</t>
  </si>
  <si>
    <t>5 h. 30 min.</t>
  </si>
  <si>
    <t>Mme Anne Battiaz-Laubreaux, 2015</t>
  </si>
  <si>
    <t>7533A100</t>
  </si>
  <si>
    <t>Hoffmann, Stéphane</t>
  </si>
  <si>
    <t>Les autos tamponneuses</t>
  </si>
  <si>
    <t>5 h. 34 min.</t>
  </si>
  <si>
    <t>M. Michel Sangsue, 2015</t>
  </si>
  <si>
    <t>7534A100</t>
  </si>
  <si>
    <t>Kerangal, Maylis de</t>
  </si>
  <si>
    <t>A ce stade de la nuit</t>
  </si>
  <si>
    <t>1 h. 07 min.</t>
  </si>
  <si>
    <t>7535A100</t>
  </si>
  <si>
    <t>Cuneo, Anne</t>
  </si>
  <si>
    <t>Gatti's variétés : roman</t>
  </si>
  <si>
    <t>9 h. 02 min.</t>
  </si>
  <si>
    <t>M. Serge Kneuss, 2015</t>
  </si>
  <si>
    <t>1.12</t>
  </si>
  <si>
    <t>7536A100</t>
  </si>
  <si>
    <t>Martin, Joël</t>
  </si>
  <si>
    <t>La contrepèterie</t>
  </si>
  <si>
    <t>Dominique Pinon</t>
  </si>
  <si>
    <t>9.81</t>
  </si>
  <si>
    <t>7537A100</t>
  </si>
  <si>
    <t>Bobe, Françoise</t>
  </si>
  <si>
    <t>Maman, où es-tu ? Maman, que fais-tu ? ; suivi de Lilou et son didounours</t>
  </si>
  <si>
    <t>7538A100</t>
  </si>
  <si>
    <t>Némirovsky, Irène</t>
  </si>
  <si>
    <t>Un enfant prodige</t>
  </si>
  <si>
    <t>1 h. 28 min.</t>
  </si>
  <si>
    <t>Jeanne Balibar</t>
  </si>
  <si>
    <t>7539A100</t>
  </si>
  <si>
    <t>Cusset, Catherine</t>
  </si>
  <si>
    <t>Une éducation catholique : roman</t>
  </si>
  <si>
    <t>3 h. 26 min.</t>
  </si>
  <si>
    <t>Mme Josette Guenot, 2015</t>
  </si>
  <si>
    <t>7540A100</t>
  </si>
  <si>
    <t>Flagg, Fannie</t>
  </si>
  <si>
    <t>Miss Alabama et ses petits secrets</t>
  </si>
  <si>
    <t>10 h. 22 min.</t>
  </si>
  <si>
    <t>7541A100</t>
  </si>
  <si>
    <t>Chevalier, Tracy</t>
  </si>
  <si>
    <t>La dernière fugitive : roman</t>
  </si>
  <si>
    <t>12 h. 09 min.</t>
  </si>
  <si>
    <t>Mme Marie-Claude Loup, 2015</t>
  </si>
  <si>
    <t>7542A100</t>
  </si>
  <si>
    <t>Orban, Christine</t>
  </si>
  <si>
    <t>Quel effet bizarre faites-vous sur mon coeur : roman</t>
  </si>
  <si>
    <t>6 h. 55 min.</t>
  </si>
  <si>
    <t>7543A100</t>
  </si>
  <si>
    <t>Sternhell, Zeev</t>
  </si>
  <si>
    <t>Ni droite ni gauche : l'idéologie fasciste en France</t>
  </si>
  <si>
    <t>27 h. 16 min.</t>
  </si>
  <si>
    <t>Mme Marielle Gracieux, 2015</t>
  </si>
  <si>
    <t>9.32</t>
  </si>
  <si>
    <t>7544A100</t>
  </si>
  <si>
    <t>Bigot, Gigi</t>
  </si>
  <si>
    <t>C'est pas vrai ! T'as menti !</t>
  </si>
  <si>
    <t>Gigi Bigot</t>
  </si>
  <si>
    <t>7545A100</t>
  </si>
  <si>
    <t>Wozniak, Éric</t>
  </si>
  <si>
    <t>La rythmologie</t>
  </si>
  <si>
    <t>4 h. 10 min.</t>
  </si>
  <si>
    <t>Mme Laurence Gargantini, 2015</t>
  </si>
  <si>
    <t>9.133</t>
  </si>
  <si>
    <t>7546A100</t>
  </si>
  <si>
    <t>Frain, Irène</t>
  </si>
  <si>
    <t>Sorti de rien : récit</t>
  </si>
  <si>
    <t>6 h. 53 min.</t>
  </si>
  <si>
    <t>7547A100</t>
  </si>
  <si>
    <t>Braden, Gregg</t>
  </si>
  <si>
    <t>Secrets de l'art perdu de la prière</t>
  </si>
  <si>
    <t>2 h. 32 min.</t>
  </si>
  <si>
    <t>René Gagnon</t>
  </si>
  <si>
    <t>9.29</t>
  </si>
  <si>
    <t>7548A100</t>
  </si>
  <si>
    <t>Revaz, Noëlle</t>
  </si>
  <si>
    <t>L'infini livre</t>
  </si>
  <si>
    <t>7 h. 11 min.</t>
  </si>
  <si>
    <t>Mme Madeleine Meyer, 2015</t>
  </si>
  <si>
    <t>7549A100</t>
  </si>
  <si>
    <t>Brink, André</t>
  </si>
  <si>
    <t>Un turbulent silence</t>
  </si>
  <si>
    <t>19 h. 14 min.</t>
  </si>
  <si>
    <t>Lecteurs multiples, 2015</t>
  </si>
  <si>
    <t>7550A100</t>
  </si>
  <si>
    <t>Giesbert, Franz-Olivier</t>
  </si>
  <si>
    <t>L'amour est éternel tant qu'il dure</t>
  </si>
  <si>
    <t>10 h. 17 min.</t>
  </si>
  <si>
    <t>M. Albert Morard, 2015</t>
  </si>
  <si>
    <t>7551A100</t>
  </si>
  <si>
    <t>Delacomptée, Emmanuelle</t>
  </si>
  <si>
    <t>Molière à la campagne</t>
  </si>
  <si>
    <t>4 h. 28 min.</t>
  </si>
  <si>
    <t>7.5</t>
  </si>
  <si>
    <t>7552A100</t>
  </si>
  <si>
    <t>Berton-Martin, Agnès</t>
  </si>
  <si>
    <t>Lunon chamboule tout</t>
  </si>
  <si>
    <t>Christel Touret</t>
  </si>
  <si>
    <t>7553A100</t>
  </si>
  <si>
    <t>Donner, Christophe</t>
  </si>
  <si>
    <t>Un roi sans lendemain</t>
  </si>
  <si>
    <t>8 h. 59 min.</t>
  </si>
  <si>
    <t>M. Dominique Forchet, AVH</t>
  </si>
  <si>
    <t>AVH</t>
  </si>
  <si>
    <t>7554A100</t>
  </si>
  <si>
    <t>Kourkov, Andreï</t>
  </si>
  <si>
    <t>Journal de Maïdan</t>
  </si>
  <si>
    <t>6 h. 38 min.</t>
  </si>
  <si>
    <t>Mme Paula Viala, AVH</t>
  </si>
  <si>
    <t>7555A100</t>
  </si>
  <si>
    <t>Crichton, Michael</t>
  </si>
  <si>
    <t>Turbulences</t>
  </si>
  <si>
    <t>12 h. 38 min.</t>
  </si>
  <si>
    <t>M. Serge Valerino, AVH</t>
  </si>
  <si>
    <t>7556A100</t>
  </si>
  <si>
    <t>Burke, James Lee</t>
  </si>
  <si>
    <t>L'arc-en-ciel de verre</t>
  </si>
  <si>
    <t>15 h. 27 min.</t>
  </si>
  <si>
    <t>Mme Chantal Péroche, AVH</t>
  </si>
  <si>
    <t>7557A100</t>
  </si>
  <si>
    <t>Bordes, Gilbert</t>
  </si>
  <si>
    <t>Les frères du diable</t>
  </si>
  <si>
    <t>12 h. 54 min.</t>
  </si>
  <si>
    <t>Mme Brigitte Bordron, AVH</t>
  </si>
  <si>
    <t>7558A100</t>
  </si>
  <si>
    <t>Fedorovski, Vladimir</t>
  </si>
  <si>
    <t>Le roman des espionnes</t>
  </si>
  <si>
    <t>5 h. 51 min.</t>
  </si>
  <si>
    <t>Mme Cathy Cristofari, AVH</t>
  </si>
  <si>
    <t>7559A100</t>
  </si>
  <si>
    <t>Le Nabour, Éric</t>
  </si>
  <si>
    <t>La Grande Combe</t>
  </si>
  <si>
    <t>8 h. 50 min.</t>
  </si>
  <si>
    <t>Mme Claude Garnier, AVH</t>
  </si>
  <si>
    <t>7560A100</t>
  </si>
  <si>
    <t>Box, Chuck James</t>
  </si>
  <si>
    <t>Below zero</t>
  </si>
  <si>
    <t>8. h. 39 min.</t>
  </si>
  <si>
    <t>Mme Noëlle Baticle, AVH</t>
  </si>
  <si>
    <t>7561A100</t>
  </si>
  <si>
    <t>Contrucci, Jean</t>
  </si>
  <si>
    <t>Les nouveaux mystères de Marseille : Double crime dans la rue Bleue</t>
  </si>
  <si>
    <t>9 h. 11 min.</t>
  </si>
  <si>
    <t>M. Robert Catani, AVH</t>
  </si>
  <si>
    <t>7562A100</t>
  </si>
  <si>
    <t>Izzo, Jean-Claude</t>
  </si>
  <si>
    <t>Les marins perdus</t>
  </si>
  <si>
    <t>8 h. 36 min.</t>
  </si>
  <si>
    <t>M. Roger Messié, AVH</t>
  </si>
  <si>
    <t>7563A100</t>
  </si>
  <si>
    <t>Duchon-Doris, Jean-Christophe</t>
  </si>
  <si>
    <t>La mort s'habille en crinoline</t>
  </si>
  <si>
    <t>11 h. 24 min.</t>
  </si>
  <si>
    <t>Mme Michèle Georgopoulos, AVH</t>
  </si>
  <si>
    <t>7564A100</t>
  </si>
  <si>
    <t>Patterson, James</t>
  </si>
  <si>
    <t>Private Los Angeles</t>
  </si>
  <si>
    <t>6 h. 27 min.</t>
  </si>
  <si>
    <t>M. François Goy, AVH</t>
  </si>
  <si>
    <t>7565A100</t>
  </si>
  <si>
    <t>Quétel, Claude</t>
  </si>
  <si>
    <t>Le mythe du 14 juillet ou la méprise de la Bastille</t>
  </si>
  <si>
    <t>12 h. 15 min.</t>
  </si>
  <si>
    <t>M. Daniel Martin, AVH</t>
  </si>
  <si>
    <t>7566A100</t>
  </si>
  <si>
    <t>Pantchenko, Daniel</t>
  </si>
  <si>
    <t>Jean Ferrat : je ne chante pas pour passer le temps : biographie</t>
  </si>
  <si>
    <t>13 h. 13 min.</t>
  </si>
  <si>
    <t>M. Gérard Piquet, AVH</t>
  </si>
  <si>
    <t>7567A100</t>
  </si>
  <si>
    <t>Nucera, Louis</t>
  </si>
  <si>
    <t>Brassens : délit d'amitié</t>
  </si>
  <si>
    <t>5 h. 28 min.</t>
  </si>
  <si>
    <t>7.2</t>
  </si>
  <si>
    <t>7568A100</t>
  </si>
  <si>
    <t>Alyn, Marc</t>
  </si>
  <si>
    <t>Monsieur le Chat : promenades littéraires</t>
  </si>
  <si>
    <t>9 h. 06 min.</t>
  </si>
  <si>
    <t>Mme Nicole Olivert, AVH</t>
  </si>
  <si>
    <t>7569A100</t>
  </si>
  <si>
    <t>Japp, Andrea H.</t>
  </si>
  <si>
    <t>La croix de perdition</t>
  </si>
  <si>
    <t>Mme Caroline Piedallu, AVH</t>
  </si>
  <si>
    <t>7570A100</t>
  </si>
  <si>
    <t>Jacob, Yves</t>
  </si>
  <si>
    <t>Sous l'ombre des pommiers</t>
  </si>
  <si>
    <t>6 h. 58 min.</t>
  </si>
  <si>
    <t>7571A100</t>
  </si>
  <si>
    <t>Munro, Alice</t>
  </si>
  <si>
    <t>Un peu, beaucoup, pas du tout</t>
  </si>
  <si>
    <t>11 h. 47 min.</t>
  </si>
  <si>
    <t>Mme Jeanne Bernier, INCA</t>
  </si>
  <si>
    <t>INCA</t>
  </si>
  <si>
    <t>7572A100</t>
  </si>
  <si>
    <t>Cappe, Jeanne</t>
  </si>
  <si>
    <t>Mon tipotame</t>
  </si>
  <si>
    <t>Vincent Leenhardt</t>
  </si>
  <si>
    <t>7573A100</t>
  </si>
  <si>
    <t>Gerig, Olivia</t>
  </si>
  <si>
    <t>L'ogre du Salève : roman</t>
  </si>
  <si>
    <t>Mme Maryse Winzenried, 2015</t>
  </si>
  <si>
    <t>7574A100</t>
  </si>
  <si>
    <t>Jacq, Christian</t>
  </si>
  <si>
    <t>Les enquêtes de l'inspecteur Higgins : Meurtre sur invitation</t>
  </si>
  <si>
    <t>6 h. 18 min.</t>
  </si>
  <si>
    <t>Mme Anne-Marie Bertels, LB</t>
  </si>
  <si>
    <t>Ligue braille (Belgique)</t>
  </si>
  <si>
    <t>7575A100</t>
  </si>
  <si>
    <t>Atangana, Louis</t>
  </si>
  <si>
    <t>Bille H.</t>
  </si>
  <si>
    <t>2 h. 30 min.</t>
  </si>
  <si>
    <t>Mme Marie-Rose Fischweiller, LB</t>
  </si>
  <si>
    <t>7576A100</t>
  </si>
  <si>
    <t>Renaud, Line</t>
  </si>
  <si>
    <t>Et mes secrets aussi</t>
  </si>
  <si>
    <t>13 h. 30 min.</t>
  </si>
  <si>
    <t>Mme Anne-Marie Baisipont, LB</t>
  </si>
  <si>
    <t>7577A100</t>
  </si>
  <si>
    <t>Moore, Edward Kelsey</t>
  </si>
  <si>
    <t>Les suprêmes</t>
  </si>
  <si>
    <t>14 h. 01 min.</t>
  </si>
  <si>
    <t>Mme Anne-Marie Charlot, LB</t>
  </si>
  <si>
    <t>7578A100</t>
  </si>
  <si>
    <t>Holtz, Gérard</t>
  </si>
  <si>
    <t>Les 100 histoires de légende du Tour de France</t>
  </si>
  <si>
    <t>4 h. 23 min.</t>
  </si>
  <si>
    <t>M. Yves Van Meenen, LB</t>
  </si>
  <si>
    <t>9.79</t>
  </si>
  <si>
    <t>7579A100</t>
  </si>
  <si>
    <t>Foenkinos, David</t>
  </si>
  <si>
    <t>Charlotte : roman</t>
  </si>
  <si>
    <t>4 h. 27 min.</t>
  </si>
  <si>
    <t>Mme Geneviève Glenck, BSR</t>
  </si>
  <si>
    <t>BSR</t>
  </si>
  <si>
    <t>7580A100</t>
  </si>
  <si>
    <t>Przybylski, Eddy</t>
  </si>
  <si>
    <t>Annie Cordy : que la vie est belle !</t>
  </si>
  <si>
    <t>22 h. 20 min.</t>
  </si>
  <si>
    <t>Mme Viviane Herry, LB</t>
  </si>
  <si>
    <t>7581A100</t>
  </si>
  <si>
    <t>Lenoir, Frédéric</t>
  </si>
  <si>
    <t>François, le printemps de l'Evangile</t>
  </si>
  <si>
    <t>4 h. 09 min.</t>
  </si>
  <si>
    <t>Mme Marie-Claude Hopmann, LB</t>
  </si>
  <si>
    <t>9.282</t>
  </si>
  <si>
    <t>7582A100</t>
  </si>
  <si>
    <t>Eco, Umberto</t>
  </si>
  <si>
    <t>Histoire des lieux de légende</t>
  </si>
  <si>
    <t>17 h. 18 min.</t>
  </si>
  <si>
    <t>Mme Francine Loreau, LB</t>
  </si>
  <si>
    <t>9.39</t>
  </si>
  <si>
    <t>7583A100</t>
  </si>
  <si>
    <t>George, Elizabeth</t>
  </si>
  <si>
    <t>The Edge of Nowhere : [1] : Saratoga Woods</t>
  </si>
  <si>
    <t>9 h. 58 min.</t>
  </si>
  <si>
    <t>Mme Pascale Moutte, LB</t>
  </si>
  <si>
    <t>7584A100</t>
  </si>
  <si>
    <t>The Edge of Nowhere : [2] : L'île de Nera</t>
  </si>
  <si>
    <t>11 h. 48 min.</t>
  </si>
  <si>
    <t>M. Guy Knipping, LB</t>
  </si>
  <si>
    <t>7585A100</t>
  </si>
  <si>
    <t>Aspe, Pieter</t>
  </si>
  <si>
    <t>[Une enquête du commissaire Van In] : 13</t>
  </si>
  <si>
    <t>7 h. 36 min.</t>
  </si>
  <si>
    <t>Mme Béatrice De Laat, LB</t>
  </si>
  <si>
    <t>7586A100</t>
  </si>
  <si>
    <t>Daoud, Kamel</t>
  </si>
  <si>
    <t>Meursault, contre-enquête : roman</t>
  </si>
  <si>
    <t>4 h. 08 min.</t>
  </si>
  <si>
    <t>Mme Martine Nicollerat, BSR</t>
  </si>
  <si>
    <t>7587A100</t>
  </si>
  <si>
    <t>Thilliez, Franck</t>
  </si>
  <si>
    <t>Gataca</t>
  </si>
  <si>
    <t>16 h. 33 min.</t>
  </si>
  <si>
    <t>M. Daniel Counillet, AVH</t>
  </si>
  <si>
    <t>7588A100</t>
  </si>
  <si>
    <t>Mitchell, Margaret</t>
  </si>
  <si>
    <t>Autant en emporte le vent</t>
  </si>
  <si>
    <t>47 h. 05 min.</t>
  </si>
  <si>
    <t>Mme Françoise Dufour, BSR</t>
  </si>
  <si>
    <t>7589A100</t>
  </si>
  <si>
    <t>Bourdon, Françoise</t>
  </si>
  <si>
    <t>Le maître ardoisier</t>
  </si>
  <si>
    <t>8 h. 27 min.</t>
  </si>
  <si>
    <t>7590A100</t>
  </si>
  <si>
    <t>Hug, Nathalie</t>
  </si>
  <si>
    <t>La demoiselle des tic-tac</t>
  </si>
  <si>
    <t>3 h. 45 min.</t>
  </si>
  <si>
    <t>Mme Marie-France Anger, AVH</t>
  </si>
  <si>
    <t>7591A100</t>
  </si>
  <si>
    <t>Verne, Jules</t>
  </si>
  <si>
    <t>Un drame en Livonie</t>
  </si>
  <si>
    <t>6 h. 24 min.</t>
  </si>
  <si>
    <t>Mme Michèle Bauduin, AVH</t>
  </si>
  <si>
    <t>7592A100</t>
  </si>
  <si>
    <t>Tsuji, Hitonari</t>
  </si>
  <si>
    <t>Le bouddha blanc</t>
  </si>
  <si>
    <t>7 h. 41 min.</t>
  </si>
  <si>
    <t>Mme Janine Brenier, AVH</t>
  </si>
  <si>
    <t>7593A100</t>
  </si>
  <si>
    <t>Hulot, Nicolas</t>
  </si>
  <si>
    <t>États d'âme</t>
  </si>
  <si>
    <t>8 h. 29 min.</t>
  </si>
  <si>
    <t>M. Gilles Laflamme, INCA</t>
  </si>
  <si>
    <t>7594A100</t>
  </si>
  <si>
    <t>Rendell, Ruth</t>
  </si>
  <si>
    <t>L'oiseau crocodile</t>
  </si>
  <si>
    <t>14 h. 56 min.</t>
  </si>
  <si>
    <t>M. Philippe Vasseur, INCA</t>
  </si>
  <si>
    <t>7595A100</t>
  </si>
  <si>
    <t>Bon, François</t>
  </si>
  <si>
    <t>Rock'n roll : un portrait de Led Zeppelin</t>
  </si>
  <si>
    <t>15 h. 31 min.</t>
  </si>
  <si>
    <t>M. Michel Bonneau, INCA</t>
  </si>
  <si>
    <t>7596A100</t>
  </si>
  <si>
    <t>Legendre, Joël</t>
  </si>
  <si>
    <t>Ma biographie gourmande : 175 recettes savoureuses sans viande</t>
  </si>
  <si>
    <t>Mme Marine Holub, INCA</t>
  </si>
  <si>
    <t>9.64</t>
  </si>
  <si>
    <t>7597A100</t>
  </si>
  <si>
    <t>De Celles, Annick</t>
  </si>
  <si>
    <t>Desserts santé pour dents sucrées : 48 recettes à base de légumes</t>
  </si>
  <si>
    <t>3 h. 08 min.</t>
  </si>
  <si>
    <t>Mme Audrey Rancourt-Lessard, INCA</t>
  </si>
  <si>
    <t>7598A100</t>
  </si>
  <si>
    <t>Bourdin, Françoise</t>
  </si>
  <si>
    <t>La promesse de l'océan</t>
  </si>
  <si>
    <t>7 h. 53 min.</t>
  </si>
  <si>
    <t>Clara Ponsot</t>
  </si>
  <si>
    <t>7599A100</t>
  </si>
  <si>
    <t>Dumas, Alexandre (père)</t>
  </si>
  <si>
    <t>Les trois mousquetaires</t>
  </si>
  <si>
    <t>22 h. 37 min.</t>
  </si>
  <si>
    <t>Alain Carré</t>
  </si>
  <si>
    <t>7600A100</t>
  </si>
  <si>
    <t>Frank, Anne</t>
  </si>
  <si>
    <t>Le Journal d'Anne Frank</t>
  </si>
  <si>
    <t>12 h. 03 min.</t>
  </si>
  <si>
    <t>Irène Jacob</t>
  </si>
  <si>
    <t>7601A100</t>
  </si>
  <si>
    <t>Trevanian</t>
  </si>
  <si>
    <t>La sanction</t>
  </si>
  <si>
    <t>10 h. 52 min.</t>
  </si>
  <si>
    <t>Eric Herson-Macarel</t>
  </si>
  <si>
    <t>7602A100</t>
  </si>
  <si>
    <t>Galvani, Angelina</t>
  </si>
  <si>
    <t>Le papa maman</t>
  </si>
  <si>
    <t>Angelina Galvani</t>
  </si>
  <si>
    <t>7603A100</t>
  </si>
  <si>
    <t>Dicker, Joël</t>
  </si>
  <si>
    <t>La vérité sur l'affaire Harry Quebert</t>
  </si>
  <si>
    <t>21 h. 30 min.</t>
  </si>
  <si>
    <t>Thibault de Montalembert</t>
  </si>
  <si>
    <t>7604A100</t>
  </si>
  <si>
    <t>Fielding, Helen</t>
  </si>
  <si>
    <t>[Le journal de Bridget Jones] : [3] : Bridget Jones : folle de lui : roman</t>
  </si>
  <si>
    <t>12 h. 10 min.</t>
  </si>
  <si>
    <t>Odile Cohen</t>
  </si>
  <si>
    <t>7605A100</t>
  </si>
  <si>
    <t>Connelly, Michael</t>
  </si>
  <si>
    <t>Ceux qui tombent</t>
  </si>
  <si>
    <t>11 h. 40 min.</t>
  </si>
  <si>
    <t>Jacques Chaussepied</t>
  </si>
  <si>
    <t>7606A100</t>
  </si>
  <si>
    <t>Hill, Napoleon</t>
  </si>
  <si>
    <t>Réfléchissez et devenez riche</t>
  </si>
  <si>
    <t>2 h. 11 min.</t>
  </si>
  <si>
    <t>Jean Leclerc, Sophie Stanké</t>
  </si>
  <si>
    <t>9.15</t>
  </si>
  <si>
    <t>7607A100</t>
  </si>
  <si>
    <t>Faye, Éric</t>
  </si>
  <si>
    <t>Malgré Fukushima : journal japonais</t>
  </si>
  <si>
    <t>5 h. 23 min.</t>
  </si>
  <si>
    <t>M. Claude Goy, 2015</t>
  </si>
  <si>
    <t>7608A100</t>
  </si>
  <si>
    <t>Angor</t>
  </si>
  <si>
    <t>17 h. 50 min.</t>
  </si>
  <si>
    <t>7609A100</t>
  </si>
  <si>
    <t>Chattam, Maxime</t>
  </si>
  <si>
    <t>La patience du diable</t>
  </si>
  <si>
    <t>14 h. 49 min.</t>
  </si>
  <si>
    <t>Sylvain Agaësse</t>
  </si>
  <si>
    <t>7610A100</t>
  </si>
  <si>
    <t>Martin, George Raymond Richard</t>
  </si>
  <si>
    <t>Le trône de fer : 2 : Le donjon rouge</t>
  </si>
  <si>
    <t>Bernard Métraux</t>
  </si>
  <si>
    <t>1.4</t>
  </si>
  <si>
    <t>7611A100</t>
  </si>
  <si>
    <t>Gourio, Jean-Marie</t>
  </si>
  <si>
    <t>Brèves de comptoir : l'anniversaire !</t>
  </si>
  <si>
    <t>7612A100</t>
  </si>
  <si>
    <t>Carnegie, Dale</t>
  </si>
  <si>
    <t>Comment se faire des amis et influencer les autres</t>
  </si>
  <si>
    <t>2 h. 31 min.</t>
  </si>
  <si>
    <t>Jean Leclerc</t>
  </si>
  <si>
    <t>7613A100</t>
  </si>
  <si>
    <t>Allais, Alphonse</t>
  </si>
  <si>
    <t>Le langage des fleurs ; Savoir hennir ; Le Chambardoscope</t>
  </si>
  <si>
    <t>1 h. 10 min.</t>
  </si>
  <si>
    <t>François Costagliola</t>
  </si>
  <si>
    <t>6.1</t>
  </si>
  <si>
    <t>7614A100</t>
  </si>
  <si>
    <t>Gavalda, Anna</t>
  </si>
  <si>
    <t>La vie en mieux : deux histoires</t>
  </si>
  <si>
    <t>5 h. 38 min.</t>
  </si>
  <si>
    <t>Mme Monique Baré, M. Willy Bulliard, 2015</t>
  </si>
  <si>
    <t>7615A100</t>
  </si>
  <si>
    <t>Ferrucci, Piero</t>
  </si>
  <si>
    <t>L'art de la gentillesse</t>
  </si>
  <si>
    <t>7 h. 29 min.</t>
  </si>
  <si>
    <t>Jérôme Fonlupt</t>
  </si>
  <si>
    <t>7616A100</t>
  </si>
  <si>
    <t>Supervielle, Jules</t>
  </si>
  <si>
    <t>Le boeuf et l'âne de la crèche</t>
  </si>
  <si>
    <t>Jean Bruno, Nicolas Rinuy, Daniell Volle</t>
  </si>
  <si>
    <t>7617A100</t>
  </si>
  <si>
    <t>Bussi, Michel</t>
  </si>
  <si>
    <t>N'oublier jamais ; suivi d'un entretien avec l'auteur</t>
  </si>
  <si>
    <t>12 h. 27 min.</t>
  </si>
  <si>
    <t>François Tavares</t>
  </si>
  <si>
    <t>7618A100</t>
  </si>
  <si>
    <t>King, Stephen</t>
  </si>
  <si>
    <t>Joyland</t>
  </si>
  <si>
    <t>Aurélien Ringelheim</t>
  </si>
  <si>
    <t>7619A100</t>
  </si>
  <si>
    <t>Galbraith, Robert</t>
  </si>
  <si>
    <t>Le ver à soie</t>
  </si>
  <si>
    <t>16 h. 37 min.</t>
  </si>
  <si>
    <t>Philippe Résimont</t>
  </si>
  <si>
    <t>7620A100</t>
  </si>
  <si>
    <t>Sjöwall, Maj</t>
  </si>
  <si>
    <t>L'homme au balcon : le roman d'un crime</t>
  </si>
  <si>
    <t>7 h. 30 min.</t>
  </si>
  <si>
    <t>7621A100</t>
  </si>
  <si>
    <t>Djian, Philippe</t>
  </si>
  <si>
    <t>Chéri-chéri : roman</t>
  </si>
  <si>
    <t>4 h. 55 min.</t>
  </si>
  <si>
    <t>M. Olivier Annen, 2015</t>
  </si>
  <si>
    <t>7622A100</t>
  </si>
  <si>
    <t>Brisac, Geneviève</t>
  </si>
  <si>
    <t>Dans les yeux des autres</t>
  </si>
  <si>
    <t>7 h. 25 min.</t>
  </si>
  <si>
    <t>7623A100</t>
  </si>
  <si>
    <t>Seigne, Aude</t>
  </si>
  <si>
    <t>Les neiges de Damas</t>
  </si>
  <si>
    <t>3 h. 40 min.</t>
  </si>
  <si>
    <t>7624A100</t>
  </si>
  <si>
    <t>Attenberg, Jami</t>
  </si>
  <si>
    <t>La famille Middlestein</t>
  </si>
  <si>
    <t>9 h. 18 min.</t>
  </si>
  <si>
    <t>Mme Monique Baré, 2015</t>
  </si>
  <si>
    <t>7625A100</t>
  </si>
  <si>
    <t>Sapin, Christelle</t>
  </si>
  <si>
    <t>Le creux de la foudre</t>
  </si>
  <si>
    <t>7 h. 39 min.</t>
  </si>
  <si>
    <t>7626A100</t>
  </si>
  <si>
    <t>Turk, Michel</t>
  </si>
  <si>
    <t>A l'ombre du Salève : crime et drogue</t>
  </si>
  <si>
    <t>7 h. 01 min.</t>
  </si>
  <si>
    <t>7627A100</t>
  </si>
  <si>
    <t>Gaudé, Laurent</t>
  </si>
  <si>
    <t>Danser les ombres : roman</t>
  </si>
  <si>
    <t>7628A100</t>
  </si>
  <si>
    <t>Orban, Jean-Pierre</t>
  </si>
  <si>
    <t>Vera : roman</t>
  </si>
  <si>
    <t>6 h. 46 min.</t>
  </si>
  <si>
    <t>Mme Françoise Assimacopoulos, 2015</t>
  </si>
  <si>
    <t>7629A100</t>
  </si>
  <si>
    <t>Mac Hart, Jennifer</t>
  </si>
  <si>
    <t>150 cocktails incontournables</t>
  </si>
  <si>
    <t>1 h. 49 min.</t>
  </si>
  <si>
    <t>Jennifer Mac Hart</t>
  </si>
  <si>
    <t>7630A100</t>
  </si>
  <si>
    <t>Feraga, Alexandre</t>
  </si>
  <si>
    <t>Je n'ai pas toujours été un vieux con : roman</t>
  </si>
  <si>
    <t>6 h. 50 min.</t>
  </si>
  <si>
    <t>M. Gérard Hofstetter, 2015</t>
  </si>
  <si>
    <t>7631A100</t>
  </si>
  <si>
    <t>Montmollin, Gilles de</t>
  </si>
  <si>
    <t>Latitude 58</t>
  </si>
  <si>
    <t>9 h. 39 min.</t>
  </si>
  <si>
    <t>M. Zino Davidoff, 2015</t>
  </si>
  <si>
    <t>7632A100</t>
  </si>
  <si>
    <t>Pachet, Pierre</t>
  </si>
  <si>
    <t>Devant ma mère</t>
  </si>
  <si>
    <t>4 h. 42 min.</t>
  </si>
  <si>
    <t>7633A100</t>
  </si>
  <si>
    <t>Attali, Jacques</t>
  </si>
  <si>
    <t>Devenir soi : prenez le pouvoir sur votre vie !</t>
  </si>
  <si>
    <t>3 h. 44 min.</t>
  </si>
  <si>
    <t>M. Marco Maltini, 2015</t>
  </si>
  <si>
    <t>7634A100</t>
  </si>
  <si>
    <t>Chatelain, Sylviane</t>
  </si>
  <si>
    <t>La Boisselière : roman</t>
  </si>
  <si>
    <t>5 h. 58 min.</t>
  </si>
  <si>
    <t>7635A100</t>
  </si>
  <si>
    <t>Launet, Édouard</t>
  </si>
  <si>
    <t>Le seigneur des îles</t>
  </si>
  <si>
    <t>M. César Jaquier, 2015</t>
  </si>
  <si>
    <t>7636A100</t>
  </si>
  <si>
    <t>Haziot, David</t>
  </si>
  <si>
    <t>Le roman des Rouart (1850-2000)</t>
  </si>
  <si>
    <t>16 h. 20 min.</t>
  </si>
  <si>
    <t>7637A100</t>
  </si>
  <si>
    <t>Grisham, John</t>
  </si>
  <si>
    <t>Calico Joe : roman</t>
  </si>
  <si>
    <t>5 h. 20 min.</t>
  </si>
  <si>
    <t>M. Jacques Deschenaux, 2015</t>
  </si>
  <si>
    <t>7638A100</t>
  </si>
  <si>
    <t>Dupont-Monod, Clara</t>
  </si>
  <si>
    <t>Le roi disait que j’étais diable : roman</t>
  </si>
  <si>
    <t>4 h. 58 min.</t>
  </si>
  <si>
    <t>Mme Florence Henry, M. Olivier Annen, 2015</t>
  </si>
  <si>
    <t>7639A100</t>
  </si>
  <si>
    <t>Richard, Emmanuelle</t>
  </si>
  <si>
    <t>La légèreté</t>
  </si>
  <si>
    <t>Mme Laurence Bovay, 2015</t>
  </si>
  <si>
    <t>7640A100</t>
  </si>
  <si>
    <t>Pesnot, Patrick</t>
  </si>
  <si>
    <t>Les grandes mystifications de l'Histoire</t>
  </si>
  <si>
    <t>11 h. 29 min.</t>
  </si>
  <si>
    <t>M. Philippe Koller, 2015</t>
  </si>
  <si>
    <t>7641A100</t>
  </si>
  <si>
    <t>Blyton, Enid</t>
  </si>
  <si>
    <t>[Le club des Cinq] : [20] : Le club des Cinq et le vieux puits</t>
  </si>
  <si>
    <t>Mme Arlette Bratschi, 2015</t>
  </si>
  <si>
    <t>7642A100</t>
  </si>
  <si>
    <t>Saumont, Annie</t>
  </si>
  <si>
    <t>Ce soir, j'ai peur : roman</t>
  </si>
  <si>
    <t>3 h. 19 min.</t>
  </si>
  <si>
    <t>7643A100</t>
  </si>
  <si>
    <t>Pozzy, Gian</t>
  </si>
  <si>
    <t>Concierges... : 35 histoires de vie !</t>
  </si>
  <si>
    <t>2 h. 02 min.</t>
  </si>
  <si>
    <t>7644A100</t>
  </si>
  <si>
    <t>Lahens, Yanick</t>
  </si>
  <si>
    <t>Bain de lune : roman</t>
  </si>
  <si>
    <t>6 h. 36 min.</t>
  </si>
  <si>
    <t>7645A100</t>
  </si>
  <si>
    <t/>
  </si>
  <si>
    <t>Philippe Favre : pressé de vivre : ses amis témoignent</t>
  </si>
  <si>
    <t>3 h. 25 min.</t>
  </si>
  <si>
    <t>7646A100</t>
  </si>
  <si>
    <t>Le groupe créatif et littéraire du Foyer du Vallon</t>
  </si>
  <si>
    <t>2 h. 21 min.</t>
  </si>
  <si>
    <t>Mmes Laurence Drécourt, Muriel Mérat, M. Philippe Koller, 2015</t>
  </si>
  <si>
    <t>7647A100</t>
  </si>
  <si>
    <t>Dupuy, Aline</t>
  </si>
  <si>
    <t>Journal d'une lycéenne sous l'Occupation : Toulouse 1943-1945</t>
  </si>
  <si>
    <t>16 h. 42 min.</t>
  </si>
  <si>
    <t>7648A100</t>
  </si>
  <si>
    <t>Cosnay, Marie</t>
  </si>
  <si>
    <t>Le fils de Judith</t>
  </si>
  <si>
    <t>1 h. 57 min.</t>
  </si>
  <si>
    <t>Mme Manuela Bezzi, 2015</t>
  </si>
  <si>
    <t>7649A100</t>
  </si>
  <si>
    <t>Baricco, Alessandro</t>
  </si>
  <si>
    <t>Les barbares : essai sur la mutation</t>
  </si>
  <si>
    <t>M. Louis Martinet, 2015</t>
  </si>
  <si>
    <t>7650A100</t>
  </si>
  <si>
    <t>Fitzgerald, Francis Scott</t>
  </si>
  <si>
    <t>Bernice se coiffe à la garçonne ; précédé de Le pirate de la côte</t>
  </si>
  <si>
    <t>2 h. 59 min.</t>
  </si>
  <si>
    <t>Mme Rose-Marie Fuchs Nicolas, 2015</t>
  </si>
  <si>
    <t>7651A100</t>
  </si>
  <si>
    <t>Marin, Agnès</t>
  </si>
  <si>
    <t>L'alouette</t>
  </si>
  <si>
    <t>7652A100</t>
  </si>
  <si>
    <t>Déon, Michel</t>
  </si>
  <si>
    <t>"Je vous écris d'Italie..."</t>
  </si>
  <si>
    <t>Mme Françoise Reversy, 2015</t>
  </si>
  <si>
    <t>7653A100</t>
  </si>
  <si>
    <t>Tabucchi, Antonio</t>
  </si>
  <si>
    <t>Pour Isabel : un mandala : roman</t>
  </si>
  <si>
    <t>3 h. 56 min.</t>
  </si>
  <si>
    <t>7654A100</t>
  </si>
  <si>
    <t>Rambaud, Patrick</t>
  </si>
  <si>
    <t>Le maître : roman</t>
  </si>
  <si>
    <t>5 h. 27 min.</t>
  </si>
  <si>
    <t>M. Denis Allistone, 2015</t>
  </si>
  <si>
    <t>7655A100</t>
  </si>
  <si>
    <t>Palach, Jean-Marie</t>
  </si>
  <si>
    <t>Souvenirs envolés</t>
  </si>
  <si>
    <t>6 h. 12 min.</t>
  </si>
  <si>
    <t>Mme Anne Fauche, 2015</t>
  </si>
  <si>
    <t>7656A100</t>
  </si>
  <si>
    <t>Frisco, Sonia</t>
  </si>
  <si>
    <t>Le portail de l'ange : roman</t>
  </si>
  <si>
    <t>8 h. 13 min.</t>
  </si>
  <si>
    <t>7657A100</t>
  </si>
  <si>
    <t>Montaldi, Valeria</t>
  </si>
  <si>
    <t>La prisonnière de Venise : roman</t>
  </si>
  <si>
    <t>12 h. 57 min.</t>
  </si>
  <si>
    <t>7658A100</t>
  </si>
  <si>
    <t>Malroux, Antonin</t>
  </si>
  <si>
    <t>La cascade des loups</t>
  </si>
  <si>
    <t>8 h. 35 min.</t>
  </si>
  <si>
    <t>7659A100</t>
  </si>
  <si>
    <t>Abd al Malik</t>
  </si>
  <si>
    <t>Place de la République : pour une spiritualité laïque</t>
  </si>
  <si>
    <t>7660A100</t>
  </si>
  <si>
    <t>Starobinski, Jean</t>
  </si>
  <si>
    <t>Notre seul, notre unique jardin</t>
  </si>
  <si>
    <t>7661A100</t>
  </si>
  <si>
    <t>Dorin, Françoise</t>
  </si>
  <si>
    <t>Vous avez quel âge ?</t>
  </si>
  <si>
    <t>1 h. 33 min.</t>
  </si>
  <si>
    <t>6.2</t>
  </si>
  <si>
    <t>7662A100</t>
  </si>
  <si>
    <t>Étèvenaux, Jean</t>
  </si>
  <si>
    <t>Napoléon III : visionnaire de son temps</t>
  </si>
  <si>
    <t>2 h. 56 min.</t>
  </si>
  <si>
    <t>7663A100</t>
  </si>
  <si>
    <t>1, rue des petits pas : roman</t>
  </si>
  <si>
    <t>9 h. 01 min.</t>
  </si>
  <si>
    <t>7664A100</t>
  </si>
  <si>
    <t>Cadieux, Axel</t>
  </si>
  <si>
    <t>Une série de tueurs : les serial killers qui ont inspiré le cinéma</t>
  </si>
  <si>
    <t>M. Eric Da Silva, 2015</t>
  </si>
  <si>
    <t>7665A100</t>
  </si>
  <si>
    <t>Kuperman, Nathalie</t>
  </si>
  <si>
    <t>La loi sauvage</t>
  </si>
  <si>
    <t>4 h. 06 min.</t>
  </si>
  <si>
    <t>7666A100</t>
  </si>
  <si>
    <t>Hosseini, Khaled</t>
  </si>
  <si>
    <t>Ainsi résonne l'écho infini des montagnes</t>
  </si>
  <si>
    <t>13 h. 12 min.</t>
  </si>
  <si>
    <t>M. Bernard Wurstemberger, 2015</t>
  </si>
  <si>
    <t>7667A100</t>
  </si>
  <si>
    <t>Brett, Lily</t>
  </si>
  <si>
    <t>Lola Bensky</t>
  </si>
  <si>
    <t>9 h. 27 min.</t>
  </si>
  <si>
    <t>7668A100</t>
  </si>
  <si>
    <t>Lucille, Francis</t>
  </si>
  <si>
    <t>Le sens des choses : entretiens sur la non-dualité</t>
  </si>
  <si>
    <t>6 h. 39 min.</t>
  </si>
  <si>
    <t>7669A100</t>
  </si>
  <si>
    <t>Salbert, Marc</t>
  </si>
  <si>
    <t>De l'influence du lancer de minibar sur l'engagement humanitaire</t>
  </si>
  <si>
    <t>5 h. 10 min.</t>
  </si>
  <si>
    <t>7670A100</t>
  </si>
  <si>
    <t>Kahane, Juliette</t>
  </si>
  <si>
    <t>Une fille</t>
  </si>
  <si>
    <t>5 h. 02 min.</t>
  </si>
  <si>
    <t>7671A100</t>
  </si>
  <si>
    <t>Ironmonger, J. W.</t>
  </si>
  <si>
    <t>Le génie des coïncidences</t>
  </si>
  <si>
    <t>11 h. 43 min.</t>
  </si>
  <si>
    <t>Mme Viviane Gonzalez, 2015</t>
  </si>
  <si>
    <t>7672A100</t>
  </si>
  <si>
    <t>Hustvedt, Siri</t>
  </si>
  <si>
    <t>Les yeux bandés : roman</t>
  </si>
  <si>
    <t>9 h. 03 min.</t>
  </si>
  <si>
    <t>7673A100</t>
  </si>
  <si>
    <t>Fives, Carole</t>
  </si>
  <si>
    <t>C'est dimanche et je n'y suis pour rien : roman</t>
  </si>
  <si>
    <t>2 h. 46 min.</t>
  </si>
  <si>
    <t>7674A100</t>
  </si>
  <si>
    <t>Sylvain, Dominique</t>
  </si>
  <si>
    <t>Ombres et soleil</t>
  </si>
  <si>
    <t>7675A100</t>
  </si>
  <si>
    <t>Hemingway, Ernest</t>
  </si>
  <si>
    <t>Une drôle de traversée</t>
  </si>
  <si>
    <t>7676A100</t>
  </si>
  <si>
    <t>Gallant, Mavis</t>
  </si>
  <si>
    <t>Week-end en Bourgogne</t>
  </si>
  <si>
    <t>Mme Marie-Pierre de Brienne, INCA</t>
  </si>
  <si>
    <t>7677A100</t>
  </si>
  <si>
    <t>Bart, Virginia</t>
  </si>
  <si>
    <t>Le meilleur du monde</t>
  </si>
  <si>
    <t>2 h. 37 min.</t>
  </si>
  <si>
    <t>7678A100</t>
  </si>
  <si>
    <t>Christensen, Andrée</t>
  </si>
  <si>
    <t>La mémoire de l'aile</t>
  </si>
  <si>
    <t>11 h. 33 min.</t>
  </si>
  <si>
    <t>M. Jod Léveillé, INCA</t>
  </si>
  <si>
    <t>7679A100</t>
  </si>
  <si>
    <t>Demers, Dominique</t>
  </si>
  <si>
    <t>Annabel et la bête</t>
  </si>
  <si>
    <t>Mme Noémie Godin-Vigneault, INCA</t>
  </si>
  <si>
    <t>6.99</t>
  </si>
  <si>
    <t>7680A100</t>
  </si>
  <si>
    <t>Thivierge, François-Guy</t>
  </si>
  <si>
    <t>Aux sommets</t>
  </si>
  <si>
    <t>5 h. 55 min.</t>
  </si>
  <si>
    <t>Mme Danyelle Jacques, INCA</t>
  </si>
  <si>
    <t>7681A100</t>
  </si>
  <si>
    <t>Molia, Xabi</t>
  </si>
  <si>
    <t>Avant de disparaître</t>
  </si>
  <si>
    <t>8 h. 49 min.</t>
  </si>
  <si>
    <t>7682A100</t>
  </si>
  <si>
    <t>Blunt, Giles</t>
  </si>
  <si>
    <t>Surgie de nulle part</t>
  </si>
  <si>
    <t>13 h. 44 min.</t>
  </si>
  <si>
    <t>Mme Danielle Laforest, INCA</t>
  </si>
  <si>
    <t>7683A100</t>
  </si>
  <si>
    <t>Boulerice, Simon</t>
  </si>
  <si>
    <t>Un verger dans le ventre</t>
  </si>
  <si>
    <t>Mme Janine Paquet, INCA</t>
  </si>
  <si>
    <t>7684A100</t>
  </si>
  <si>
    <t>Dubois, Amélie</t>
  </si>
  <si>
    <t>Ce qui se passe au Mexique reste au Mexique !</t>
  </si>
  <si>
    <t>7 h. 32 min.</t>
  </si>
  <si>
    <t>Mme Huguette Perron-Fortin, INCA</t>
  </si>
  <si>
    <t>7685A100</t>
  </si>
  <si>
    <t>Baraton, Alain</t>
  </si>
  <si>
    <t>Vice et Versailles : crimes, trahisons et autres empoisonnements au palais du Roi-Soleil</t>
  </si>
  <si>
    <t>4 h. 59 min.</t>
  </si>
  <si>
    <t>M. Gérard Dupont, AVH</t>
  </si>
  <si>
    <t>7686A100</t>
  </si>
  <si>
    <t>Parot, Jean-François</t>
  </si>
  <si>
    <t>Les enquêtes de Nicolas Le Floch, commissaire au Châtelet : L'année du volcan</t>
  </si>
  <si>
    <t>14 h. 17 min.</t>
  </si>
  <si>
    <t>7687A100</t>
  </si>
  <si>
    <t>Laverdunt, Damien</t>
  </si>
  <si>
    <t>Petites et grandes histoires des animaux disparus</t>
  </si>
  <si>
    <t>2 h. 23 min.</t>
  </si>
  <si>
    <t>Mme Marie-Josée Hardy, INCA</t>
  </si>
  <si>
    <t>9.59</t>
  </si>
  <si>
    <t>7689A100</t>
  </si>
  <si>
    <t>Davant, Sophie</t>
  </si>
  <si>
    <t>Ce que j'ai appris de moi : journal d'une quinqua</t>
  </si>
  <si>
    <t>4 h. 39 min.</t>
  </si>
  <si>
    <t>7690A100</t>
  </si>
  <si>
    <t>Sels, Véronique</t>
  </si>
  <si>
    <t>Voyage de noces avec ma mère : roman</t>
  </si>
  <si>
    <t>3 h. 54 min.</t>
  </si>
  <si>
    <t>7691A100</t>
  </si>
  <si>
    <t>Le fabuleux destin d'une vache... : roman</t>
  </si>
  <si>
    <t>7 h. 33 min.</t>
  </si>
  <si>
    <t>7692A100</t>
  </si>
  <si>
    <t>Finkelstein, Frederika Amalia</t>
  </si>
  <si>
    <t>L'oubli : roman</t>
  </si>
  <si>
    <t>Mme Alexandra Mandofia, 2015</t>
  </si>
  <si>
    <t>7693A100</t>
  </si>
  <si>
    <t>Flem, Lydia</t>
  </si>
  <si>
    <t>La reine Alice</t>
  </si>
  <si>
    <t>7694A100</t>
  </si>
  <si>
    <t>Barrière, Michèle</t>
  </si>
  <si>
    <t>L'assassin de la Nationale 7 : roman inédit</t>
  </si>
  <si>
    <t>7 h. 23 min.</t>
  </si>
  <si>
    <t>Mme Laurence Drécourt, 2015</t>
  </si>
  <si>
    <t>7695A100</t>
  </si>
  <si>
    <t>Le Naour, Jean-Yves</t>
  </si>
  <si>
    <t>Les soldats de la honte</t>
  </si>
  <si>
    <t>5 h. 29 min.</t>
  </si>
  <si>
    <t>Mme Joëlle Le Port, AVH</t>
  </si>
  <si>
    <t>7696A100</t>
  </si>
  <si>
    <t>Calvet, Louis-Jean</t>
  </si>
  <si>
    <t>Georges Moustaki : une vie</t>
  </si>
  <si>
    <t>13 h. 17 min.</t>
  </si>
  <si>
    <t>M. Michel Méron, AVH</t>
  </si>
  <si>
    <t>7697A100</t>
  </si>
  <si>
    <t>Crick, Bernard R.</t>
  </si>
  <si>
    <t>George Orwell</t>
  </si>
  <si>
    <t>27 h. 27 min.</t>
  </si>
  <si>
    <t>Mme Delphine Chartier, AVH</t>
  </si>
  <si>
    <t>7698A100</t>
  </si>
  <si>
    <t>Akounine, Boris</t>
  </si>
  <si>
    <t>[Sœur Pélagie] : [1] : Pélagie et le bouledogue blanc</t>
  </si>
  <si>
    <t>12 h. 12 min.</t>
  </si>
  <si>
    <t>M. Daniel Chevalier, AVH</t>
  </si>
  <si>
    <t>7699A100</t>
  </si>
  <si>
    <t>[Sœur Pélagie] : [2] : Pélagie et le moine noir</t>
  </si>
  <si>
    <t>13 h. 38 min.</t>
  </si>
  <si>
    <t>Mme Claude Rozier, AVH</t>
  </si>
  <si>
    <t>7700A100</t>
  </si>
  <si>
    <t>Lenormand, Frédéric</t>
  </si>
  <si>
    <t>Voltaire mène l'enquète : La baronne meurt à cinq heures</t>
  </si>
  <si>
    <t>7701A100</t>
  </si>
  <si>
    <t>[Sœur Pélagie] : [3] : Pélagie et le coq rouge</t>
  </si>
  <si>
    <t>17 h. 46 min.</t>
  </si>
  <si>
    <t>7702A100</t>
  </si>
  <si>
    <t>Une aventure d'Eraste Fandorine : Le couronnement</t>
  </si>
  <si>
    <t>14 h. 16 min.</t>
  </si>
  <si>
    <t>Mme Laurence Bardin, AVH</t>
  </si>
  <si>
    <t>7703A100</t>
  </si>
  <si>
    <t>Miské, Karim</t>
  </si>
  <si>
    <t>Arab jazz</t>
  </si>
  <si>
    <t>7 h. 35 min.</t>
  </si>
  <si>
    <t>Mme Hélène Lenot, AVH</t>
  </si>
  <si>
    <t>7704A100</t>
  </si>
  <si>
    <t>Qiu, Xiaolong</t>
  </si>
  <si>
    <t>La danseuse de Mao</t>
  </si>
  <si>
    <t>13 h. 21 min.</t>
  </si>
  <si>
    <t>Mme Marion Martin, AVH</t>
  </si>
  <si>
    <t>7705A100</t>
  </si>
  <si>
    <t>Visa pour Shanghai : une enquête de l'inspecteur Chen</t>
  </si>
  <si>
    <t>10 h. 25 min.</t>
  </si>
  <si>
    <t>Mme Francine du Pouget, AVH</t>
  </si>
  <si>
    <t>7706A100</t>
  </si>
  <si>
    <t>Mort d'une héroïne rouge</t>
  </si>
  <si>
    <t>17 h. 10 min.</t>
  </si>
  <si>
    <t>M. Louis Belon, AVH</t>
  </si>
  <si>
    <t>7707A100</t>
  </si>
  <si>
    <t>Sutro, Dirk</t>
  </si>
  <si>
    <t>Le jazz pour les nuls</t>
  </si>
  <si>
    <t>15 h. 46 min.</t>
  </si>
  <si>
    <t>9.78</t>
  </si>
  <si>
    <t>7708A100</t>
  </si>
  <si>
    <t>Gonzalez Ledesma, Francisco</t>
  </si>
  <si>
    <t>Des morts bien pires</t>
  </si>
  <si>
    <t>10 h. 04 min.</t>
  </si>
  <si>
    <t>Mme Anne Luroy, AVH</t>
  </si>
  <si>
    <t>7709A100</t>
  </si>
  <si>
    <t>La tortue d'Eschyle et autres morts stupides de l'histoire</t>
  </si>
  <si>
    <t>M. François Blanchard, AVH</t>
  </si>
  <si>
    <t>7710A100</t>
  </si>
  <si>
    <t>Venner, Dominique</t>
  </si>
  <si>
    <t>L'imprévu dans l'histoire : treize meurtres exemplaires</t>
  </si>
  <si>
    <t>12 h. 01 min.</t>
  </si>
  <si>
    <t>Mme Marie-Christine de Penfentenyo, AVH</t>
  </si>
  <si>
    <t>7711A100</t>
  </si>
  <si>
    <t>Chancel, Jacques</t>
  </si>
  <si>
    <t>La nuit attendra</t>
  </si>
  <si>
    <t>7 h. 08 min.</t>
  </si>
  <si>
    <t>7712A100</t>
  </si>
  <si>
    <t>Leconte, Marianne</t>
  </si>
  <si>
    <t>Le manuscrit de Grenade</t>
  </si>
  <si>
    <t>7 h. 52 min.</t>
  </si>
  <si>
    <t>Mme Brigitte Meplain, AVH</t>
  </si>
  <si>
    <t>7713A100</t>
  </si>
  <si>
    <t>Manotti, Dominique</t>
  </si>
  <si>
    <t>L'honorable société</t>
  </si>
  <si>
    <t>9 h. 37 min.</t>
  </si>
  <si>
    <t>7714A100</t>
  </si>
  <si>
    <t>Lorraine connection</t>
  </si>
  <si>
    <t>5 h. 41 min.</t>
  </si>
  <si>
    <t>M. Emmannuel Trouzier, AVH</t>
  </si>
  <si>
    <t>7715A100</t>
  </si>
  <si>
    <t>Besson, André</t>
  </si>
  <si>
    <t>La grotte aux loups</t>
  </si>
  <si>
    <t>7716A100</t>
  </si>
  <si>
    <t>Rosenthal, Olivia</t>
  </si>
  <si>
    <t>Mécanismes de survie en milieu hostile</t>
  </si>
  <si>
    <t>4 h. 19 min.</t>
  </si>
  <si>
    <t>7717A100</t>
  </si>
  <si>
    <t>Laurain, Antoine</t>
  </si>
  <si>
    <t>La femme au carnet rouge : roman</t>
  </si>
  <si>
    <t>4 h. 41 min.</t>
  </si>
  <si>
    <t>7718A100</t>
  </si>
  <si>
    <t>Jollien, Alexandre</t>
  </si>
  <si>
    <t>Le philosophe nu</t>
  </si>
  <si>
    <t>7 h. 10 min.</t>
  </si>
  <si>
    <t>M. Jean Frey, BSR</t>
  </si>
  <si>
    <t>9.13</t>
  </si>
  <si>
    <t>7719A100</t>
  </si>
  <si>
    <t>Gautreaux, Tim</t>
  </si>
  <si>
    <t>Nos disparus</t>
  </si>
  <si>
    <t>20 h. 37 min.</t>
  </si>
  <si>
    <t>M. Jacques Zurlinden, BSR</t>
  </si>
  <si>
    <t>7720A100</t>
  </si>
  <si>
    <t>Braunstein, Florence</t>
  </si>
  <si>
    <t>La culture générale pour les nuls</t>
  </si>
  <si>
    <t>24 h. 59 min.</t>
  </si>
  <si>
    <t>M. Philippe Plancquaert, LB</t>
  </si>
  <si>
    <t>9.37</t>
  </si>
  <si>
    <t>7721A100</t>
  </si>
  <si>
    <t>Daeninckx, Didier</t>
  </si>
  <si>
    <t>Têtes de Maures</t>
  </si>
  <si>
    <t>M. Jean-Louis Debecq, LB</t>
  </si>
  <si>
    <t>7722A100</t>
  </si>
  <si>
    <t>Clancy, Tom</t>
  </si>
  <si>
    <t>Cybermenace : roman</t>
  </si>
  <si>
    <t>26 h. 28 min.</t>
  </si>
  <si>
    <t>Mme Jeannine De Gobert, LB</t>
  </si>
  <si>
    <t>7723A100</t>
  </si>
  <si>
    <t>Burnett, William Riley</t>
  </si>
  <si>
    <t>Terreur apache</t>
  </si>
  <si>
    <t>7 h. 57 min.</t>
  </si>
  <si>
    <t>M. Denis Duculot, LB</t>
  </si>
  <si>
    <t>7724A100</t>
  </si>
  <si>
    <t>Pouy, Jean-Bernard</t>
  </si>
  <si>
    <t>1280 âmes</t>
  </si>
  <si>
    <t>4 h. 05 min.</t>
  </si>
  <si>
    <t>M. André Gosset, LB</t>
  </si>
  <si>
    <t>7725A100</t>
  </si>
  <si>
    <t>Pastoureau, Michel</t>
  </si>
  <si>
    <t>Noir : histoire d'une couleur</t>
  </si>
  <si>
    <t>Mme Danielle Weiler, LB</t>
  </si>
  <si>
    <t>7726A100</t>
  </si>
  <si>
    <t>Walter, François</t>
  </si>
  <si>
    <t>Hiver : histoire d'une saison</t>
  </si>
  <si>
    <t>13 h. 56 min.</t>
  </si>
  <si>
    <t>Mme Cloé Despax, Mme Dominique Thomas, LB</t>
  </si>
  <si>
    <t>7727A100</t>
  </si>
  <si>
    <t>Les souvenirs</t>
  </si>
  <si>
    <t>Loïc Corbery</t>
  </si>
  <si>
    <t>7728A100</t>
  </si>
  <si>
    <t>Ubac, Claire</t>
  </si>
  <si>
    <t>Petit Chat découvre le monde</t>
  </si>
  <si>
    <t>Claire Ubac</t>
  </si>
  <si>
    <t>7729A100</t>
  </si>
  <si>
    <t>Jimenes, Guy</t>
  </si>
  <si>
    <t>Nôar le corbeau</t>
  </si>
  <si>
    <t>Charo</t>
  </si>
  <si>
    <t>7730A100</t>
  </si>
  <si>
    <t>Markaris, Petros</t>
  </si>
  <si>
    <t>[Une enquête de Kostas Charitos] : [1] : Liquidation à la grecque</t>
  </si>
  <si>
    <t>7 h. 59 min.</t>
  </si>
  <si>
    <t>7731A100</t>
  </si>
  <si>
    <t>Besson, Philippe</t>
  </si>
  <si>
    <t>Vivre vite : roman</t>
  </si>
  <si>
    <t>4 h. 15 min.</t>
  </si>
  <si>
    <t>Sébastien Hébrant, Nathalie Hugo, Olivier Prémel</t>
  </si>
  <si>
    <t>7732A100</t>
  </si>
  <si>
    <t>Minard, Céline</t>
  </si>
  <si>
    <t>Faillir être flingué ; suivi d'un entretien avec l'auteur par Féodor Atkine</t>
  </si>
  <si>
    <t>9 h. 28 min.</t>
  </si>
  <si>
    <t>Féodor Atkine</t>
  </si>
  <si>
    <t>7733A100</t>
  </si>
  <si>
    <t>Coben, Harlan</t>
  </si>
  <si>
    <t>Tu me manques</t>
  </si>
  <si>
    <t>11 h. 38 min.</t>
  </si>
  <si>
    <t>Maud Rudigoz</t>
  </si>
  <si>
    <t>7734A100</t>
  </si>
  <si>
    <t>Mankell, Henning</t>
  </si>
  <si>
    <t>Le fils du vent</t>
  </si>
  <si>
    <t>Guy Moign</t>
  </si>
  <si>
    <t>7735A100</t>
  </si>
  <si>
    <t>Lafon, Marie-Hélène</t>
  </si>
  <si>
    <t>Joseph ; suivi d'un entretien avec l'auteur</t>
  </si>
  <si>
    <t>3 h. 05 min.</t>
  </si>
  <si>
    <t>Marie-Christine Barrault</t>
  </si>
  <si>
    <t>7736A100</t>
  </si>
  <si>
    <t>Que ta volonté soit faite</t>
  </si>
  <si>
    <t>Antoine Tomé</t>
  </si>
  <si>
    <t>7737A100</t>
  </si>
  <si>
    <t>Makhlouf, Georgia</t>
  </si>
  <si>
    <t>Les absents : roman</t>
  </si>
  <si>
    <t>8 h. 28 min.</t>
  </si>
  <si>
    <t>7738A100</t>
  </si>
  <si>
    <t>Salvayre, Lydie</t>
  </si>
  <si>
    <t>Pas pleurer</t>
  </si>
  <si>
    <t>6 h. 28 min.</t>
  </si>
  <si>
    <t>Marie-Christine Letort</t>
  </si>
  <si>
    <t>7739A100</t>
  </si>
  <si>
    <t>Ormesson, Jean d'</t>
  </si>
  <si>
    <t>Comme un chant d'espérance : roman</t>
  </si>
  <si>
    <t>2 h. 18 min.</t>
  </si>
  <si>
    <t>Daniel Nicodème</t>
  </si>
  <si>
    <t>7740A100</t>
  </si>
  <si>
    <t>Gravé dans le sable : Omaha crimes</t>
  </si>
  <si>
    <t>Olivier Prémel</t>
  </si>
  <si>
    <t>7741A100</t>
  </si>
  <si>
    <t>Vargas, Fred</t>
  </si>
  <si>
    <t>L'homme à l'envers</t>
  </si>
  <si>
    <t>8 h. 15 min.</t>
  </si>
  <si>
    <t>Jacques Frantz</t>
  </si>
  <si>
    <t>7742A100</t>
  </si>
  <si>
    <t>Brocas, Sophie</t>
  </si>
  <si>
    <t>Le cercle des femmes : roman</t>
  </si>
  <si>
    <t>4 h. 46 min.</t>
  </si>
  <si>
    <t>Mme Muriel Mérat, 2015</t>
  </si>
  <si>
    <t>7743A100</t>
  </si>
  <si>
    <t>Puértolas, Romain</t>
  </si>
  <si>
    <t>La petite fille qui avait avalé un nuage grand comme la tour Eiffel</t>
  </si>
  <si>
    <t>5 h. 09 min.</t>
  </si>
  <si>
    <t>7744A100</t>
  </si>
  <si>
    <t>Arango, Sascha</t>
  </si>
  <si>
    <t>La vérité et autres mensonges</t>
  </si>
  <si>
    <t>Olivier Cuvellier</t>
  </si>
  <si>
    <t>7745A100</t>
  </si>
  <si>
    <t>Vert : histoire d'une couleur</t>
  </si>
  <si>
    <t>7 h. 19 min.</t>
  </si>
  <si>
    <t>Mme Danièle Berloz, LB</t>
  </si>
  <si>
    <t>7746A100</t>
  </si>
  <si>
    <t>Torreton, Philippe</t>
  </si>
  <si>
    <t>Mémé</t>
  </si>
  <si>
    <t>2 h. 16 min.</t>
  </si>
  <si>
    <t>M. Roger Guillard, LB</t>
  </si>
  <si>
    <t>7747A100</t>
  </si>
  <si>
    <t>Rowley, Anthony</t>
  </si>
  <si>
    <t>Et si on refaisait l'histoire ?</t>
  </si>
  <si>
    <t>6 h. 13 min.</t>
  </si>
  <si>
    <t>Mme Andrée Vandesteene, LB</t>
  </si>
  <si>
    <t>7748A100</t>
  </si>
  <si>
    <t>Baudet, Jean</t>
  </si>
  <si>
    <t>Histoire de la cuisine : une philosophie du goût</t>
  </si>
  <si>
    <t>11 h. 04 min.</t>
  </si>
  <si>
    <t>7749A100</t>
  </si>
  <si>
    <t>Baldin, Damien</t>
  </si>
  <si>
    <t>Histoire des animaux domestiques : XIXe-XXe siècle</t>
  </si>
  <si>
    <t>8 h. 48 min.</t>
  </si>
  <si>
    <t>Mme Dominique Thomas, LB</t>
  </si>
  <si>
    <t>7750A100</t>
  </si>
  <si>
    <t>Carrère, Emmanuel</t>
  </si>
  <si>
    <t>Le royaume</t>
  </si>
  <si>
    <t>13 h. 25 min.</t>
  </si>
  <si>
    <t>Emmanuel Carrère</t>
  </si>
  <si>
    <t>7751A100</t>
  </si>
  <si>
    <t>Roegiers, Patrick</t>
  </si>
  <si>
    <t>Le bonheur des Belges : roman</t>
  </si>
  <si>
    <t>7752A100</t>
  </si>
  <si>
    <t>Lusseyran, Jacques</t>
  </si>
  <si>
    <t>Le monde commence aujourd'hui</t>
  </si>
  <si>
    <t>4 h. 26 min.</t>
  </si>
  <si>
    <t>Mme Véronique Damas, LB</t>
  </si>
  <si>
    <t>7753A100</t>
  </si>
  <si>
    <t>Modiano, Patrick</t>
  </si>
  <si>
    <t>Dans le café de la jeunesse perdue</t>
  </si>
  <si>
    <t>3 h. 16 min.</t>
  </si>
  <si>
    <t>Denis Podalydes</t>
  </si>
  <si>
    <t>7754A100</t>
  </si>
  <si>
    <t>Kepler, Lars</t>
  </si>
  <si>
    <t>Le marchand de sable</t>
  </si>
  <si>
    <t>Thierry Janssen</t>
  </si>
  <si>
    <t>7755A100</t>
  </si>
  <si>
    <t>Dans les bois éternels</t>
  </si>
  <si>
    <t>12 h. 32 min.</t>
  </si>
  <si>
    <t>7756A100</t>
  </si>
  <si>
    <t>Levy, Marc</t>
  </si>
  <si>
    <t>Elle &amp; lui</t>
  </si>
  <si>
    <t>7 h. 05 min.</t>
  </si>
  <si>
    <t>Hervé Bernard Omnès</t>
  </si>
  <si>
    <t>7757A100</t>
  </si>
  <si>
    <t>Cavaillès, Nicolas</t>
  </si>
  <si>
    <t>Vie de monsieur Leguat</t>
  </si>
  <si>
    <t>1 h. 42 min.</t>
  </si>
  <si>
    <t>Mme Liliane Roskopf, 2015</t>
  </si>
  <si>
    <t>7758A100</t>
  </si>
  <si>
    <t>Cochard, Zara</t>
  </si>
  <si>
    <t>Patience enragée : apprendre avec un handicap</t>
  </si>
  <si>
    <t>7 h. 27 min.</t>
  </si>
  <si>
    <t>7759A100</t>
  </si>
  <si>
    <t>Lebert, Karine</t>
  </si>
  <si>
    <t>Loin de Margaux</t>
  </si>
  <si>
    <t>8 h. 26 min.</t>
  </si>
  <si>
    <t>7760A100</t>
  </si>
  <si>
    <t>Khoury, Raymond</t>
  </si>
  <si>
    <t>La malédiction des templiers</t>
  </si>
  <si>
    <t>16 h. 15 min.</t>
  </si>
  <si>
    <t>Mme Michèle Roullet, 2015</t>
  </si>
  <si>
    <t>7762A100</t>
  </si>
  <si>
    <t>Bauwen, Patrick</t>
  </si>
  <si>
    <t>Seul à savoir : roman</t>
  </si>
  <si>
    <t>10 h. 56 min.</t>
  </si>
  <si>
    <t>7763A100</t>
  </si>
  <si>
    <t>Fox, Kathryn</t>
  </si>
  <si>
    <t>Le suicideur</t>
  </si>
  <si>
    <t>7764A100</t>
  </si>
  <si>
    <t>Shibumi : roman</t>
  </si>
  <si>
    <t>19 h. 51 min.</t>
  </si>
  <si>
    <t>7765A100</t>
  </si>
  <si>
    <t>Alard, Nelly</t>
  </si>
  <si>
    <t>Le crieur de nuit : roman</t>
  </si>
  <si>
    <t>3 h. 17 min.</t>
  </si>
  <si>
    <t>7766A100</t>
  </si>
  <si>
    <t>Legardinier, Gilles</t>
  </si>
  <si>
    <t>Ça peut pas rater !</t>
  </si>
  <si>
    <t>7767A100</t>
  </si>
  <si>
    <t>Grosmaire, Jean-Louis</t>
  </si>
  <si>
    <t>Tu n'aurais pas dû partir</t>
  </si>
  <si>
    <t>M. Jean-Pierre Abel, 2015</t>
  </si>
  <si>
    <t>7768A100</t>
  </si>
  <si>
    <t>Frédérick, Hélène</t>
  </si>
  <si>
    <t>Forêt contraire</t>
  </si>
  <si>
    <t>3 h. 58 min.</t>
  </si>
  <si>
    <t>7769A100</t>
  </si>
  <si>
    <t>Mano</t>
  </si>
  <si>
    <t>Les habitants</t>
  </si>
  <si>
    <t>7770A100</t>
  </si>
  <si>
    <t>Lamoth, Frédéric</t>
  </si>
  <si>
    <t>Sur fond blanc : roman</t>
  </si>
  <si>
    <t>3 h. 41 min.</t>
  </si>
  <si>
    <t>7771A100</t>
  </si>
  <si>
    <t>Soula, Denis</t>
  </si>
  <si>
    <t>Les frangines : roman</t>
  </si>
  <si>
    <t>7772A100</t>
  </si>
  <si>
    <t>Chao, Ramón</t>
  </si>
  <si>
    <t>L'odyssée du Winnipeg</t>
  </si>
  <si>
    <t>M. Louis Moeri, 2015</t>
  </si>
  <si>
    <t>7773A100</t>
  </si>
  <si>
    <t>Coule la Seine</t>
  </si>
  <si>
    <t>7774A100</t>
  </si>
  <si>
    <t>Arnaldur Indridason</t>
  </si>
  <si>
    <t>Les nuits de Reykjavik</t>
  </si>
  <si>
    <t>Jean-Marc Delhausse</t>
  </si>
  <si>
    <t>7775A100</t>
  </si>
  <si>
    <t>Clark, Mary Higgins</t>
  </si>
  <si>
    <t>L'affaire Cendrillon</t>
  </si>
  <si>
    <t>9 h. 16 min.</t>
  </si>
  <si>
    <t>Marcha Van Boven</t>
  </si>
  <si>
    <t>7776A100</t>
  </si>
  <si>
    <t>Dutourd, Jean</t>
  </si>
  <si>
    <t>Le printemps de la vie</t>
  </si>
  <si>
    <t>9 h. 12 min.</t>
  </si>
  <si>
    <t>7777A100</t>
  </si>
  <si>
    <t>Zschokke, Matthias</t>
  </si>
  <si>
    <t>L'homme qui avait deux yeux</t>
  </si>
  <si>
    <t>8 h. 25 min.</t>
  </si>
  <si>
    <t>7778A100</t>
  </si>
  <si>
    <t>Favier, Pierre</t>
  </si>
  <si>
    <t>La décennie Mitterrand : [2] : Les épreuves (1984-1988)</t>
  </si>
  <si>
    <t>38 h. 24 min.</t>
  </si>
  <si>
    <t>7779A100</t>
  </si>
  <si>
    <t>Giraldi, William</t>
  </si>
  <si>
    <t>Aucun homme ni dieu : roman</t>
  </si>
  <si>
    <t>Mme Annick Perruchoud, 2015</t>
  </si>
  <si>
    <t>7780A100</t>
  </si>
  <si>
    <t>Giannoni, Chantal</t>
  </si>
  <si>
    <t>Encorselée : récit</t>
  </si>
  <si>
    <t>2 h. 08 min.</t>
  </si>
  <si>
    <t>Mme Françoise Grousson, 2015</t>
  </si>
  <si>
    <t>7781A100</t>
  </si>
  <si>
    <t>Martin-Chauffier, Gilles</t>
  </si>
  <si>
    <t>La femme qui dit non : roman</t>
  </si>
  <si>
    <t>10 h. 09 min.</t>
  </si>
  <si>
    <t>7782A100</t>
  </si>
  <si>
    <t>Garcin, Jérôme</t>
  </si>
  <si>
    <t>Le voyant</t>
  </si>
  <si>
    <t>4 h. 01 min.</t>
  </si>
  <si>
    <t>7783A100</t>
  </si>
  <si>
    <t>Bernier, Henriette</t>
  </si>
  <si>
    <t>L'enfant de la dernière chance : roman</t>
  </si>
  <si>
    <t>7784A100</t>
  </si>
  <si>
    <t>[Le club des Cinq] : [21] : Le club des Cinq en embuscade</t>
  </si>
  <si>
    <t>4 h. 56 min.</t>
  </si>
  <si>
    <t>7785A100</t>
  </si>
  <si>
    <t>Delpech, Michel</t>
  </si>
  <si>
    <t>Vivre !</t>
  </si>
  <si>
    <t>3 h. 06 min.</t>
  </si>
  <si>
    <t>7786A100</t>
  </si>
  <si>
    <t>Clo, Valérie</t>
  </si>
  <si>
    <t>La tyrannie des apparences</t>
  </si>
  <si>
    <t>1.3</t>
  </si>
  <si>
    <t>7787A100</t>
  </si>
  <si>
    <t>Rumiz, Paolo</t>
  </si>
  <si>
    <t>Le phare, voyage immobile</t>
  </si>
  <si>
    <t>3 h. 53 min.</t>
  </si>
  <si>
    <t>7788A100</t>
  </si>
  <si>
    <t>Saint Pern, Dominique de</t>
  </si>
  <si>
    <t>Baronne Blixen : roman</t>
  </si>
  <si>
    <t>11 h. 06 min.</t>
  </si>
  <si>
    <t>7789A100</t>
  </si>
  <si>
    <t>Leroy, Patrick</t>
  </si>
  <si>
    <t>Rendez-vous à la Puerta del Sol</t>
  </si>
  <si>
    <t>2 h. 49 min.</t>
  </si>
  <si>
    <t>M. Marc-Aurèle Dubois-Pelerin, 2015</t>
  </si>
  <si>
    <t>7790A100</t>
  </si>
  <si>
    <t>Balzac, Honoré de</t>
  </si>
  <si>
    <t>La fausse maîtresse</t>
  </si>
  <si>
    <t>2 h. 12 min.</t>
  </si>
  <si>
    <t>7791A100</t>
  </si>
  <si>
    <t>Fugitive : nouvelles</t>
  </si>
  <si>
    <t>7792A100</t>
  </si>
  <si>
    <t>De Groodt, Stéphane</t>
  </si>
  <si>
    <t>Retour en absurdie : chroniques</t>
  </si>
  <si>
    <t>7793A100</t>
  </si>
  <si>
    <t>Delaye, Fabrice</t>
  </si>
  <si>
    <t>Patrick Aebischer</t>
  </si>
  <si>
    <t>7794A100</t>
  </si>
  <si>
    <t>Comencini, Cristina</t>
  </si>
  <si>
    <t>Lucy : roman</t>
  </si>
  <si>
    <t>7795A100</t>
  </si>
  <si>
    <t>Rebillard, Maryvonne</t>
  </si>
  <si>
    <t>Le silence fait une fugue ; [suivi de] La ville et le village ;  Le silence : poèmes</t>
  </si>
  <si>
    <t>Christel Touret, David Marchal</t>
  </si>
  <si>
    <t>7796A100</t>
  </si>
  <si>
    <t>Broc, Nathalie de</t>
  </si>
  <si>
    <t>Et toujours ces ombres sur le fleuve... : roman</t>
  </si>
  <si>
    <t>Mme Florence Henry, 2015</t>
  </si>
  <si>
    <t>7797A100</t>
  </si>
  <si>
    <t>Villars, Isabelle</t>
  </si>
  <si>
    <t>Une enquête de Roland Durtal : Une bavure</t>
  </si>
  <si>
    <t>7798A100</t>
  </si>
  <si>
    <t>Manceau, Édouard</t>
  </si>
  <si>
    <t>Clic clac</t>
  </si>
  <si>
    <t>Romane Bérenger</t>
  </si>
  <si>
    <t>7799A100</t>
  </si>
  <si>
    <t>Nicholls, David</t>
  </si>
  <si>
    <t>Nous</t>
  </si>
  <si>
    <t>14 h. 18 min.</t>
  </si>
  <si>
    <t>Patrick Donnay</t>
  </si>
  <si>
    <t>7800A100</t>
  </si>
  <si>
    <t>Demoulin-Astre, Marie-Jo</t>
  </si>
  <si>
    <t>Le nid vide</t>
  </si>
  <si>
    <t>4 h. 54 min.</t>
  </si>
  <si>
    <t>7801A100</t>
  </si>
  <si>
    <t>Heurtier, Annelise</t>
  </si>
  <si>
    <t>Olaf le géant mélomane</t>
  </si>
  <si>
    <t>Jacques Allaire</t>
  </si>
  <si>
    <t>7802A100</t>
  </si>
  <si>
    <t>Spielman, Lori Nelson</t>
  </si>
  <si>
    <t>Un doux pardon</t>
  </si>
  <si>
    <t>11 h. 46 min.</t>
  </si>
  <si>
    <t>7803A100</t>
  </si>
  <si>
    <t>Une enquête de Roland Durtal : Flic-Flac</t>
  </si>
  <si>
    <t>7804A100</t>
  </si>
  <si>
    <t>Méril, Macha</t>
  </si>
  <si>
    <t>L'amour dans tous ses états</t>
  </si>
  <si>
    <t>8 h. 01 min.</t>
  </si>
  <si>
    <t>7805A100</t>
  </si>
  <si>
    <t>[Une enquête du commissaire Brunetti] : Le garçon qui ne parlait pas : roman</t>
  </si>
  <si>
    <t>9 h. 31 min.</t>
  </si>
  <si>
    <t>7806A100</t>
  </si>
  <si>
    <t>Van Moere, Marie</t>
  </si>
  <si>
    <t>Petite louve</t>
  </si>
  <si>
    <t>7807A100</t>
  </si>
  <si>
    <t>Musso, Guillaume</t>
  </si>
  <si>
    <t>L'instant présent : roman</t>
  </si>
  <si>
    <t>François Hatt</t>
  </si>
  <si>
    <t>7808A100</t>
  </si>
  <si>
    <t>Tong Cuong, Valérie</t>
  </si>
  <si>
    <t>Pardonnable, impardonnable : roman</t>
  </si>
  <si>
    <t>7809A100</t>
  </si>
  <si>
    <t>Une enquête de Roland Durtal : Le manchot</t>
  </si>
  <si>
    <t>7810A100</t>
  </si>
  <si>
    <t>Bron, Jacques</t>
  </si>
  <si>
    <t>Une enquête de Roland Durtal : Coup double</t>
  </si>
  <si>
    <t>1 h. 04 min.</t>
  </si>
  <si>
    <t>7811A100</t>
  </si>
  <si>
    <t>Manook, Ian</t>
  </si>
  <si>
    <t>Yeruldelgger : suivi d'un entretien avec l'auteur</t>
  </si>
  <si>
    <t>15 h. 37 min.</t>
  </si>
  <si>
    <t>Martin Spinayer</t>
  </si>
  <si>
    <t>7812A100</t>
  </si>
  <si>
    <t>Blas de Roblès, Jean-Marie</t>
  </si>
  <si>
    <t>L'île du Point Némo</t>
  </si>
  <si>
    <t>12 h. 43 min.</t>
  </si>
  <si>
    <t>1.14</t>
  </si>
  <si>
    <t>7813A100</t>
  </si>
  <si>
    <t>Autissier, Isabelle</t>
  </si>
  <si>
    <t>Passer par le Nord : la nouvelle route maritime</t>
  </si>
  <si>
    <t>7 h. 03 min.</t>
  </si>
  <si>
    <t>9.91</t>
  </si>
  <si>
    <t>7814A100</t>
  </si>
  <si>
    <t>Goby, Valentine</t>
  </si>
  <si>
    <t>La fille surexposée</t>
  </si>
  <si>
    <t>3 h. 10 min.</t>
  </si>
  <si>
    <t>7815A100</t>
  </si>
  <si>
    <t>Lewicki, Christine</t>
  </si>
  <si>
    <t>J'arrête de râler : pour retrouver sérénité, calme &amp; plaisir en 21 jours</t>
  </si>
  <si>
    <t>7816A100</t>
  </si>
  <si>
    <t>Robitaille, Louis-Bernard</t>
  </si>
  <si>
    <t>Les Parisiens sont pires que vous ne le croyez</t>
  </si>
  <si>
    <t>7817A100</t>
  </si>
  <si>
    <t>Alassane, Anne</t>
  </si>
  <si>
    <t>Pour l'amour des miens : témoignage</t>
  </si>
  <si>
    <t>7818A100</t>
  </si>
  <si>
    <t>Chauvin, Ingrid</t>
  </si>
  <si>
    <t>A coeur ouvert</t>
  </si>
  <si>
    <t>3 h. 37 min.</t>
  </si>
  <si>
    <t>7819A100</t>
  </si>
  <si>
    <t>Incardona, Joseph</t>
  </si>
  <si>
    <t>Misty</t>
  </si>
  <si>
    <t>M. Phillippe Koller, 2015</t>
  </si>
  <si>
    <t>7820A100</t>
  </si>
  <si>
    <t>Dunilac, Julien</t>
  </si>
  <si>
    <t>Mes obsèques à Pâques</t>
  </si>
  <si>
    <t>3 h. 15 min.</t>
  </si>
  <si>
    <t>7821A100</t>
  </si>
  <si>
    <t>Chien de printemps : roman</t>
  </si>
  <si>
    <t>Edouard Baer</t>
  </si>
  <si>
    <t>7822A100</t>
  </si>
  <si>
    <t>Les derniers jours de nos pères</t>
  </si>
  <si>
    <t>12 h. 56 min.</t>
  </si>
  <si>
    <t>Hugues Boucher</t>
  </si>
  <si>
    <t>7823A100</t>
  </si>
  <si>
    <t>Maman a tort</t>
  </si>
  <si>
    <t>12 h. 52 min.</t>
  </si>
  <si>
    <t>Caroline Klaus</t>
  </si>
  <si>
    <t>7824A100</t>
  </si>
  <si>
    <t>Kennedy, Douglas</t>
  </si>
  <si>
    <t>Mirage</t>
  </si>
  <si>
    <t>12 h. 23 min.</t>
  </si>
  <si>
    <t>Nathalie Hugo</t>
  </si>
  <si>
    <t>7825A100</t>
  </si>
  <si>
    <t>Werber, Bernard</t>
  </si>
  <si>
    <t>Les fourmis : [1]</t>
  </si>
  <si>
    <t>10 h. 37 min.</t>
  </si>
  <si>
    <t>Arnaud Romain</t>
  </si>
  <si>
    <t>7826A100</t>
  </si>
  <si>
    <t>Green, John</t>
  </si>
  <si>
    <t>Nos étoiles contraires</t>
  </si>
  <si>
    <t>7 h. 56 min.</t>
  </si>
  <si>
    <t>Jessica Monceau</t>
  </si>
  <si>
    <t>7827A100</t>
  </si>
  <si>
    <t>Mazetti, Katarina</t>
  </si>
  <si>
    <t>Ma vie de pingouin : roman</t>
  </si>
  <si>
    <t>7 h. 17 min.</t>
  </si>
  <si>
    <t>7828A100</t>
  </si>
  <si>
    <t>Olmi, Véronique</t>
  </si>
  <si>
    <t>J'aimais mieux quand c'était toi ; suivi d'un entretien avec l'auteure</t>
  </si>
  <si>
    <t>3 h. 12 min.</t>
  </si>
  <si>
    <t>Véronique Olmi</t>
  </si>
  <si>
    <t>7829A100</t>
  </si>
  <si>
    <t>Abécassis, Agnès</t>
  </si>
  <si>
    <t>Week-end surprise : roman</t>
  </si>
  <si>
    <t>4 h. 21 min.</t>
  </si>
  <si>
    <t>7830A100</t>
  </si>
  <si>
    <t>Ollivier, Bernard</t>
  </si>
  <si>
    <t>Marche et invente ta vie : adolescents en difficulté, ils se reconstruisent par une marche au long cours</t>
  </si>
  <si>
    <t>7831A100</t>
  </si>
  <si>
    <t>La mystérieuse bibliothécaire</t>
  </si>
  <si>
    <t>Mme Marjorie Smith, INCA</t>
  </si>
  <si>
    <t>7832A100</t>
  </si>
  <si>
    <t>Salomé, Jacques</t>
  </si>
  <si>
    <t>Pourquoi est-il si difficile d'être heureux ?</t>
  </si>
  <si>
    <t>6 h. 03 min.</t>
  </si>
  <si>
    <t>Mme Yvette Thuot, INCA</t>
  </si>
  <si>
    <t>7833A100</t>
  </si>
  <si>
    <t>Greene, Graham</t>
  </si>
  <si>
    <t>Les comédiens</t>
  </si>
  <si>
    <t>10 h. 13 min.</t>
  </si>
  <si>
    <t>M. Xavier Malo, INCA</t>
  </si>
  <si>
    <t>7834A100</t>
  </si>
  <si>
    <t>Simons, Paullina</t>
  </si>
  <si>
    <t>Tatiana</t>
  </si>
  <si>
    <t>17 h. 12 min.</t>
  </si>
  <si>
    <t>Mme Roxanne Bourdages, INCA</t>
  </si>
  <si>
    <t>7835A100</t>
  </si>
  <si>
    <t>McCall Smith, Alexander</t>
  </si>
  <si>
    <t>Mma Ramotswe détective</t>
  </si>
  <si>
    <t>M. Mathieu Lepage, INCA</t>
  </si>
  <si>
    <t>7836A100</t>
  </si>
  <si>
    <t>Bouchard, Camille</t>
  </si>
  <si>
    <t>Trafic au Burkina Faso</t>
  </si>
  <si>
    <t>7837A100</t>
  </si>
  <si>
    <t>Aubert, Brigitte</t>
  </si>
  <si>
    <t>Le secret de l'abbaye</t>
  </si>
  <si>
    <t>Mme Judith Légaré, INCA</t>
  </si>
  <si>
    <t>7838A100</t>
  </si>
  <si>
    <t>Skloot, Rebecca</t>
  </si>
  <si>
    <t>La vie immortelle d'Henrietta Lacks</t>
  </si>
  <si>
    <t>16 h. 05 min.</t>
  </si>
  <si>
    <t>Mme Monique Hauy, INCA</t>
  </si>
  <si>
    <t>7839A100</t>
  </si>
  <si>
    <t>Confavreux, Joseph</t>
  </si>
  <si>
    <t>Egypte : histoire, société, culture</t>
  </si>
  <si>
    <t>M. Stephan Francoeur, INCA</t>
  </si>
  <si>
    <t>7840A100</t>
  </si>
  <si>
    <t>Atwood, Margaret</t>
  </si>
  <si>
    <t>La voleuse d'hommes</t>
  </si>
  <si>
    <t>19 h. 39 min.</t>
  </si>
  <si>
    <t>7841A100</t>
  </si>
  <si>
    <t>Manguel, Alberto</t>
  </si>
  <si>
    <t>Nouvel éloge de la folie : essais édits &amp; inédits</t>
  </si>
  <si>
    <t>13 h. 32 min.</t>
  </si>
  <si>
    <t>Mme Céline Garneau, INCA</t>
  </si>
  <si>
    <t>7842A100</t>
  </si>
  <si>
    <t>Ragon, Michel</t>
  </si>
  <si>
    <t>Un rossignol chantait</t>
  </si>
  <si>
    <t>2 h. 43 min.</t>
  </si>
  <si>
    <t>Mme Jacqueline Hudelot, INCA</t>
  </si>
  <si>
    <t>7843A100</t>
  </si>
  <si>
    <t>Rufin, Jean-Christophe</t>
  </si>
  <si>
    <t>Check point : roman</t>
  </si>
  <si>
    <t>7844A100</t>
  </si>
  <si>
    <t>Hislop, Victoria</t>
  </si>
  <si>
    <t>L'île des oubliés</t>
  </si>
  <si>
    <t>Pulchérie Gadmer</t>
  </si>
  <si>
    <t>7845A100</t>
  </si>
  <si>
    <t>Caputo, Nata</t>
  </si>
  <si>
    <t>Letiko, la fille du soleil : conte grec</t>
  </si>
  <si>
    <t>Maryline Fontaine, Robert Lucibello</t>
  </si>
  <si>
    <t>7846A100</t>
  </si>
  <si>
    <t>Brun-Cosme, Nadine</t>
  </si>
  <si>
    <t>Gros ventre du loup</t>
  </si>
  <si>
    <t>Véronique Groux de Miéri</t>
  </si>
  <si>
    <t>7847A100</t>
  </si>
  <si>
    <t>Gallo, Max</t>
  </si>
  <si>
    <t>Machiavel et Savonarole : la glace et le feu</t>
  </si>
  <si>
    <t>7 h. 12 min.</t>
  </si>
  <si>
    <t>7848A100</t>
  </si>
  <si>
    <t>Aubineau, Jérôme</t>
  </si>
  <si>
    <t>T'es beau, t'es fort, t'es musclé</t>
  </si>
  <si>
    <t>Jérôme Aubineau, Basile Gahon</t>
  </si>
  <si>
    <t>7849A100</t>
  </si>
  <si>
    <t>[Le Poulpe] : La route du Rom</t>
  </si>
  <si>
    <t>3 h. 23 min.</t>
  </si>
  <si>
    <t>7850A100</t>
  </si>
  <si>
    <t>[Le Poulpe] : Éthique en toc</t>
  </si>
  <si>
    <t>4 h. 44 min.</t>
  </si>
  <si>
    <t>M. Jean-Claude Durak, AVH</t>
  </si>
  <si>
    <t>7851A100</t>
  </si>
  <si>
    <t>Solé, Robert</t>
  </si>
  <si>
    <t>Bonaparte à la conquête de l'Egypte</t>
  </si>
  <si>
    <t>11 h. 52 min.</t>
  </si>
  <si>
    <t>Mme Danielle Netter, AVH</t>
  </si>
  <si>
    <t>7852A100</t>
  </si>
  <si>
    <t>Hugues, Pascale</t>
  </si>
  <si>
    <t>La robe de Hannah : Berlin, 1904-2014</t>
  </si>
  <si>
    <t>11 h. 35 min.</t>
  </si>
  <si>
    <t>7853A100</t>
  </si>
  <si>
    <t>Manchette, Jean-Patrick</t>
  </si>
  <si>
    <t>Fatale</t>
  </si>
  <si>
    <t>2 h. 44 min.</t>
  </si>
  <si>
    <t>Mme Claire Prat, AVH</t>
  </si>
  <si>
    <t>7854A100</t>
  </si>
  <si>
    <t>Nada</t>
  </si>
  <si>
    <t>5 h. 04 min.</t>
  </si>
  <si>
    <t>Mme Karine Jean-Denis, AVH</t>
  </si>
  <si>
    <t>7855A100</t>
  </si>
  <si>
    <t>Ô dingos, ô château !</t>
  </si>
  <si>
    <t>3 h. 59 min.</t>
  </si>
  <si>
    <t>M. Yann Préhu, AVH</t>
  </si>
  <si>
    <t>7856A100</t>
  </si>
  <si>
    <t>Sfar, Joann</t>
  </si>
  <si>
    <t>L'éternel</t>
  </si>
  <si>
    <t>13 h. 06 min.</t>
  </si>
  <si>
    <t>Mme Danielle Folbaum, AVH</t>
  </si>
  <si>
    <t>7857A100</t>
  </si>
  <si>
    <t>Winckler, Martin</t>
  </si>
  <si>
    <t>[Le Poulpe] : Ne touche pas à mes deux seins</t>
  </si>
  <si>
    <t>4 h. 32 min.</t>
  </si>
  <si>
    <t>7858A100</t>
  </si>
  <si>
    <t>Halmos, Claude</t>
  </si>
  <si>
    <t>Dis-moi pourquoi : parler à hauteur d'enfant</t>
  </si>
  <si>
    <t>3 h. 24 min.</t>
  </si>
  <si>
    <t>Mme Tessa Poutrel, AVH</t>
  </si>
  <si>
    <t>7859A100</t>
  </si>
  <si>
    <t>Failler, Jean</t>
  </si>
  <si>
    <t>Le visiteur du vendredi : Une enquête de Mary Lester</t>
  </si>
  <si>
    <t>7860A100</t>
  </si>
  <si>
    <t>Soljenitsyne, Alexandre Issaïevitch</t>
  </si>
  <si>
    <t>L'archipel du Goulag : 1918-1956 : essai d'investigation littéraire</t>
  </si>
  <si>
    <t>23 h. 46 min.</t>
  </si>
  <si>
    <t>Mme Valérie Choquard, AVH</t>
  </si>
  <si>
    <t>7861A100</t>
  </si>
  <si>
    <t>De Cataldo, Giancarlo</t>
  </si>
  <si>
    <t>La saison des massacres</t>
  </si>
  <si>
    <t>9 h. 32 min.</t>
  </si>
  <si>
    <t>Mme Christine Lapsca, AVH</t>
  </si>
  <si>
    <t>7862A100</t>
  </si>
  <si>
    <t>Kim, Tak-Hwan</t>
  </si>
  <si>
    <t>Les romans meurtriers : roman policier</t>
  </si>
  <si>
    <t>13 h. 54 min.</t>
  </si>
  <si>
    <t>Mme Michèle Cheikh, AVH</t>
  </si>
  <si>
    <t>7863A100</t>
  </si>
  <si>
    <t>RN 86</t>
  </si>
  <si>
    <t>5 h. 31 min.</t>
  </si>
  <si>
    <t>Mme Jacqueline Grau, AVH</t>
  </si>
  <si>
    <t>7864A100</t>
  </si>
  <si>
    <t>Liang, Diane Wei</t>
  </si>
  <si>
    <t>Le papillon de papier</t>
  </si>
  <si>
    <t>Mme Lenoir, AVH</t>
  </si>
  <si>
    <t>7865A100</t>
  </si>
  <si>
    <t>Beigel, Christine</t>
  </si>
  <si>
    <t>Mini rikiki mimi</t>
  </si>
  <si>
    <t>Sylvia Etcheto</t>
  </si>
  <si>
    <t>7866A100</t>
  </si>
  <si>
    <t>Grand comment</t>
  </si>
  <si>
    <t>7867A100</t>
  </si>
  <si>
    <t>Littell, Robert</t>
  </si>
  <si>
    <t>Une belle saloperie</t>
  </si>
  <si>
    <t>7 h. 16 min.</t>
  </si>
  <si>
    <t>M. Pierre Duquesnoy, GIAA</t>
  </si>
  <si>
    <t>GIAA</t>
  </si>
  <si>
    <t>7868A100</t>
  </si>
  <si>
    <t>Vidal, Edmond</t>
  </si>
  <si>
    <t>Pour une poignée de cerises : itinéraire d'un voyou pas comme les autres</t>
  </si>
  <si>
    <t>7869A100</t>
  </si>
  <si>
    <t>Dernier tramway pour les Champs-Elysées</t>
  </si>
  <si>
    <t>13 h. 19 min.</t>
  </si>
  <si>
    <t>Mme Marie-Ève Oligny Bertrand, LB</t>
  </si>
  <si>
    <t>7870A100</t>
  </si>
  <si>
    <t>Bernard, Céline</t>
  </si>
  <si>
    <t>Jean-Claude Perronnet : l'homme qui court avec les yeux des autres</t>
  </si>
  <si>
    <t>3 h. 04 min.</t>
  </si>
  <si>
    <t>Mme Claude Thys, LB</t>
  </si>
  <si>
    <t>7871A100</t>
  </si>
  <si>
    <t>Van Cauwelaert, Didier</t>
  </si>
  <si>
    <t>Jules : roman</t>
  </si>
  <si>
    <t>Mme Pascale Wyvekens, LB</t>
  </si>
  <si>
    <t>7872A100</t>
  </si>
  <si>
    <t>Himbert, Marie-Noëlle</t>
  </si>
  <si>
    <t>Marie Curie : portrait d'une femme engagée, 1914-1918 : récit</t>
  </si>
  <si>
    <t>6 h. 33 min.</t>
  </si>
  <si>
    <t>Mme Monique Dechamps, LB</t>
  </si>
  <si>
    <t>7873A100</t>
  </si>
  <si>
    <t>Greenblatt, Stephen</t>
  </si>
  <si>
    <t>Will le magnifique</t>
  </si>
  <si>
    <t>17 h. 38 min.</t>
  </si>
  <si>
    <t>7874A100</t>
  </si>
  <si>
    <t>Luizard, Pierre-Jean</t>
  </si>
  <si>
    <t>Le piège Daech : l'Etat islamique ou Le retour de l'histoire</t>
  </si>
  <si>
    <t>5 h. 18 min.</t>
  </si>
  <si>
    <t>Mme Florence Collignon, LB</t>
  </si>
  <si>
    <t>7875A100</t>
  </si>
  <si>
    <t>Seigle, Jean-Luc</t>
  </si>
  <si>
    <t>Je vous écris dans le noir : roman</t>
  </si>
  <si>
    <t>4 h. 45 min.</t>
  </si>
  <si>
    <t>Mme Monique Michel, LB</t>
  </si>
  <si>
    <t>7876A100</t>
  </si>
  <si>
    <t>Pépin, Charles</t>
  </si>
  <si>
    <t>La planète des sages : encyclopédie mondiale des philosophes et des philosophies</t>
  </si>
  <si>
    <t>2 h. 55 min.</t>
  </si>
  <si>
    <t>7877A100</t>
  </si>
  <si>
    <t>Huxley, Aldous</t>
  </si>
  <si>
    <t>Le meilleur des mondes</t>
  </si>
  <si>
    <t>8 h. 55 min.</t>
  </si>
  <si>
    <t>7878A100</t>
  </si>
  <si>
    <t>L'ombre de Gray Mountain</t>
  </si>
  <si>
    <t>12 h. 33 min.</t>
  </si>
  <si>
    <t>Ingrid Donnadieu</t>
  </si>
  <si>
    <t>7879A100</t>
  </si>
  <si>
    <t>La ville orpheline</t>
  </si>
  <si>
    <t>12 h. 31 min.</t>
  </si>
  <si>
    <t>Maia Baran</t>
  </si>
  <si>
    <t>7880A100</t>
  </si>
  <si>
    <t>Börjlind, Cilla</t>
  </si>
  <si>
    <t>Marée d'équinoxe</t>
  </si>
  <si>
    <t>14 h. 51 min.</t>
  </si>
  <si>
    <t>Françoise Miquelis</t>
  </si>
  <si>
    <t>7881A100</t>
  </si>
  <si>
    <t>Echenoz, Jean</t>
  </si>
  <si>
    <t>Caprice de la reine</t>
  </si>
  <si>
    <t>1 h. 53 min.</t>
  </si>
  <si>
    <t>7882A100</t>
  </si>
  <si>
    <t>Cymes, Michel</t>
  </si>
  <si>
    <t>Hippocrate aux enfers : les médecins des camps de la mort</t>
  </si>
  <si>
    <t>4 h. 24 min.</t>
  </si>
  <si>
    <t>Michel Cymes</t>
  </si>
  <si>
    <t>7883A100</t>
  </si>
  <si>
    <t>Tesson, Sylvain</t>
  </si>
  <si>
    <t>Berezina : en side-car avec Napoléon</t>
  </si>
  <si>
    <t>Franck Desmedt</t>
  </si>
  <si>
    <t>7884A100</t>
  </si>
  <si>
    <t>Truc, Olivier</t>
  </si>
  <si>
    <t>Le dernier Lapon</t>
  </si>
  <si>
    <t>14 h. 55 min.</t>
  </si>
  <si>
    <t>Marc-Henri Boisse</t>
  </si>
  <si>
    <t>7885A100</t>
  </si>
  <si>
    <t>Savoy, Guy</t>
  </si>
  <si>
    <t>Savourer la vie</t>
  </si>
  <si>
    <t>4 h. 49 min.</t>
  </si>
  <si>
    <t>7886A100</t>
  </si>
  <si>
    <t>Cohen, Albert</t>
  </si>
  <si>
    <t>Ô vous, frères humains</t>
  </si>
  <si>
    <t>3 h. 13 min.</t>
  </si>
  <si>
    <t>7887A100</t>
  </si>
  <si>
    <t>Fovini-Ponscarme, Liliane</t>
  </si>
  <si>
    <t>Poèmes : 1960-1993</t>
  </si>
  <si>
    <t>7888A100</t>
  </si>
  <si>
    <t>Le trône de fer : 3 : La bataille des rois</t>
  </si>
  <si>
    <t>14 h. 19 min.</t>
  </si>
  <si>
    <t>7889A100</t>
  </si>
  <si>
    <t>Droit, Roger-Pol</t>
  </si>
  <si>
    <t>La philosophie ne fait pas le bonheur : ... et c'est tant mieux !</t>
  </si>
  <si>
    <t>4 h. 07 min.</t>
  </si>
  <si>
    <t>7890A100</t>
  </si>
  <si>
    <t>Matzneff, Gabriel</t>
  </si>
  <si>
    <t>La lettre au capitaine Brunner : roman</t>
  </si>
  <si>
    <t>6 h. 16 min.</t>
  </si>
  <si>
    <t>7891A100</t>
  </si>
  <si>
    <t>Les ombres de l'enfance : roman</t>
  </si>
  <si>
    <t>6 h. 48 min.</t>
  </si>
  <si>
    <t>Mme Anne-Marie Scarramuzzi, 2015</t>
  </si>
  <si>
    <t>7892A100</t>
  </si>
  <si>
    <t>Genève sang dessus dessous : 5 fictions policières</t>
  </si>
  <si>
    <t>6 h. 09 min.</t>
  </si>
  <si>
    <t>7893A100</t>
  </si>
  <si>
    <t>Sand, George</t>
  </si>
  <si>
    <t>Consuelo : la Comtesse de Rudolstadt</t>
  </si>
  <si>
    <t>64 h. 16 min.</t>
  </si>
  <si>
    <t>Mme Laetitia Lafrance, 2015</t>
  </si>
  <si>
    <t>7894A100</t>
  </si>
  <si>
    <t>Miège, Gérard</t>
  </si>
  <si>
    <t>Marignan : histoire d'une défaite salutaire : [1515-2015]</t>
  </si>
  <si>
    <t>3 h. 49 min.</t>
  </si>
  <si>
    <t>M. Marc-Aurèle Dubois Pelerin, 2015</t>
  </si>
  <si>
    <t>7895A100</t>
  </si>
  <si>
    <t>Cervantes Saavedra, Miguel de</t>
  </si>
  <si>
    <t>La petite gitane</t>
  </si>
  <si>
    <t>2 h. 54 min.</t>
  </si>
  <si>
    <t>7896A100</t>
  </si>
  <si>
    <t>Izner, Claude</t>
  </si>
  <si>
    <t>Le dragon du Trocadéro : inédit</t>
  </si>
  <si>
    <t>10 h. 49 min.</t>
  </si>
  <si>
    <t>Mme Marie-Clély Ladini, 2015</t>
  </si>
  <si>
    <t>7898A100</t>
  </si>
  <si>
    <t>Juhel, Fabienne</t>
  </si>
  <si>
    <t>La chaise numéro 14</t>
  </si>
  <si>
    <t>7899A100</t>
  </si>
  <si>
    <t>Lordon, Frédéric</t>
  </si>
  <si>
    <t>La société des affects : pour un structuralisme des passions</t>
  </si>
  <si>
    <t>10 h. 20 min.</t>
  </si>
  <si>
    <t>7900A100</t>
  </si>
  <si>
    <t>La chambre close : le roman d'un crime</t>
  </si>
  <si>
    <t>12 h. 17 min.</t>
  </si>
  <si>
    <t>7901A100</t>
  </si>
  <si>
    <t>Bimpage, Serge</t>
  </si>
  <si>
    <t>Le voyage inachevé</t>
  </si>
  <si>
    <t>8 h. 54 min.</t>
  </si>
  <si>
    <t>7902A100</t>
  </si>
  <si>
    <t>La décennie Mitterrand : [3] : Les défis, 1988-1991</t>
  </si>
  <si>
    <t>29 h. 17 min.</t>
  </si>
  <si>
    <t>7903A100</t>
  </si>
  <si>
    <t>Tardieu, Laurence</t>
  </si>
  <si>
    <t>Une vie à soi</t>
  </si>
  <si>
    <t>3 h. 21 min.</t>
  </si>
  <si>
    <t>7904A100</t>
  </si>
  <si>
    <t>Kessel, Joseph</t>
  </si>
  <si>
    <t>Le paradis du Kilimandjaro : et autres reportages</t>
  </si>
  <si>
    <t>3 h. 02 min.</t>
  </si>
  <si>
    <t>7905A100</t>
  </si>
  <si>
    <t>Ferney, Alice</t>
  </si>
  <si>
    <t>Le règne du vivant : roman</t>
  </si>
  <si>
    <t>7906A100</t>
  </si>
  <si>
    <t>Buti, Roland</t>
  </si>
  <si>
    <t>Luce &amp; Célie</t>
  </si>
  <si>
    <t>4 h. 33 min.</t>
  </si>
  <si>
    <t>7907A100</t>
  </si>
  <si>
    <t>Busquets, Milena</t>
  </si>
  <si>
    <t>Ça aussi ça passera : roman</t>
  </si>
  <si>
    <t>7908A100</t>
  </si>
  <si>
    <t>Jeanneret, Gino</t>
  </si>
  <si>
    <t>Les jours sans lune</t>
  </si>
  <si>
    <t>7909A100</t>
  </si>
  <si>
    <t>Choisir la vie</t>
  </si>
  <si>
    <t>7911A100</t>
  </si>
  <si>
    <t>Duluc, Vincent</t>
  </si>
  <si>
    <t>Le cinquième Beatles : roman</t>
  </si>
  <si>
    <t>7912A100</t>
  </si>
  <si>
    <t>Freud, Anna</t>
  </si>
  <si>
    <t>Le moi et les mécanismes de défense</t>
  </si>
  <si>
    <t>7913A100</t>
  </si>
  <si>
    <t>Chollet, Mona</t>
  </si>
  <si>
    <t>La tyrannie de la réalité</t>
  </si>
  <si>
    <t>Mmes Stefanie Günther Pizarro, Anne Fauche, 2015</t>
  </si>
  <si>
    <t>7914A100</t>
  </si>
  <si>
    <t>Hardy, Françoise</t>
  </si>
  <si>
    <t>Avis non autorisés...</t>
  </si>
  <si>
    <t>7 h. 22 min.</t>
  </si>
  <si>
    <t>7915A100</t>
  </si>
  <si>
    <t>Pourquoi l'eau de mer est salée : et autres contes de Corée</t>
  </si>
  <si>
    <t>7916A100</t>
  </si>
  <si>
    <t>Haerri, Silvia</t>
  </si>
  <si>
    <t>Nouaison</t>
  </si>
  <si>
    <t>1 h. 06 min.</t>
  </si>
  <si>
    <t>Mme Martine Brandt, 2015</t>
  </si>
  <si>
    <t>7917A100</t>
  </si>
  <si>
    <t>Ferrier, Ariane</t>
  </si>
  <si>
    <t>Fragile</t>
  </si>
  <si>
    <t>3 h. 38 min.</t>
  </si>
  <si>
    <t>7918A100</t>
  </si>
  <si>
    <t>Clerc, Gaston</t>
  </si>
  <si>
    <t>Le secret de la porte de fer</t>
  </si>
  <si>
    <t>7  h. 06 min.</t>
  </si>
  <si>
    <t>7919A100</t>
  </si>
  <si>
    <t>[Une enquête de Kostas Charitos] : [2] : Le justicier d’Athènes</t>
  </si>
  <si>
    <t>8 h. 52 min.</t>
  </si>
  <si>
    <t>7921A100</t>
  </si>
  <si>
    <t>Gilliard, Valérie</t>
  </si>
  <si>
    <t>Le canal : roman</t>
  </si>
  <si>
    <t>2 h. 47 min.</t>
  </si>
  <si>
    <t>7922A100</t>
  </si>
  <si>
    <t>Dubois, Géraldine</t>
  </si>
  <si>
    <t>Dehors la vieille !</t>
  </si>
  <si>
    <t>7923A100</t>
  </si>
  <si>
    <t>Récondo, Léonor de</t>
  </si>
  <si>
    <t>Amours : roman</t>
  </si>
  <si>
    <t>3 h. 51 min.</t>
  </si>
  <si>
    <t>7924A100</t>
  </si>
  <si>
    <t>Lévy, Justine</t>
  </si>
  <si>
    <t>La gaieté : roman</t>
  </si>
  <si>
    <t>7926A100</t>
  </si>
  <si>
    <t>Menna, Antonio</t>
  </si>
  <si>
    <t>L'étrange histoire de l'ours brun abattu dans les quartiers espagnols de Naples</t>
  </si>
  <si>
    <t>M. Quentin Bohlen, 2015</t>
  </si>
  <si>
    <t>7927A100</t>
  </si>
  <si>
    <t>Jónasson, Jon Atli</t>
  </si>
  <si>
    <t>Les enfants de Dimmavick : novella</t>
  </si>
  <si>
    <t>1 h. 36 min.</t>
  </si>
  <si>
    <t>7928A100</t>
  </si>
  <si>
    <t>Baronsky, Eva</t>
  </si>
  <si>
    <t>Monsieur Mozart se réveille</t>
  </si>
  <si>
    <t>11 h. 07 min.</t>
  </si>
  <si>
    <t>7929A100</t>
  </si>
  <si>
    <t>Cossery, Albert</t>
  </si>
  <si>
    <t>Les hommes oubliés de Dieu</t>
  </si>
  <si>
    <t>7931A100</t>
  </si>
  <si>
    <t>Arthaud, Florence</t>
  </si>
  <si>
    <t>Cette nuit, la mer est noire</t>
  </si>
  <si>
    <t>2 h. 25 min.</t>
  </si>
  <si>
    <t>Mmes Anne-Marie Scaramuzzi, Florence Henry, 2015</t>
  </si>
  <si>
    <t>7932A100</t>
  </si>
  <si>
    <t>Un lieu sans raison : roman</t>
  </si>
  <si>
    <t>12 h. 21 min.</t>
  </si>
  <si>
    <t>7933A100</t>
  </si>
  <si>
    <t>Roberts, Nora</t>
  </si>
  <si>
    <t>Les ombres du lac</t>
  </si>
  <si>
    <t>7 h. 13 min.</t>
  </si>
  <si>
    <t>7934A100</t>
  </si>
  <si>
    <t>Frébourg, Olivier</t>
  </si>
  <si>
    <t>Gaston et Gustave</t>
  </si>
  <si>
    <t>8 h. 41 min.</t>
  </si>
  <si>
    <t>7935A100</t>
  </si>
  <si>
    <t>Carrère d'Encausse, Marina</t>
  </si>
  <si>
    <t>Une femme blessée</t>
  </si>
  <si>
    <t>7936A100</t>
  </si>
  <si>
    <t>Hawkins, Paula</t>
  </si>
  <si>
    <t>La fille du train</t>
  </si>
  <si>
    <t>Mme Jessica Vial, 2015</t>
  </si>
  <si>
    <t>7937A100</t>
  </si>
  <si>
    <t>Ragougneau, Alexis</t>
  </si>
  <si>
    <t>La madone de Notre-Dame</t>
  </si>
  <si>
    <t>7938A100</t>
  </si>
  <si>
    <t>Spindler, Erica</t>
  </si>
  <si>
    <t>Collection macabre</t>
  </si>
  <si>
    <t>Mme Jacqueline Kaiser, GIAA</t>
  </si>
  <si>
    <t>7939A100</t>
  </si>
  <si>
    <t>Desbiolles, Maryline</t>
  </si>
  <si>
    <t>Le beau temps</t>
  </si>
  <si>
    <t>5 h. 06 min.</t>
  </si>
  <si>
    <t>7940A100</t>
  </si>
  <si>
    <t>Mamboury, Sandra</t>
  </si>
  <si>
    <t>Genève-Paris, tout le monde descend : la journaliste Clémentine Pinson revient et ses chroniques créent le buzz</t>
  </si>
  <si>
    <t>7941A100</t>
  </si>
  <si>
    <t>Varenne, Antonin</t>
  </si>
  <si>
    <t>Le mur, le kabyle et le marin</t>
  </si>
  <si>
    <t>9 h. 26 min.</t>
  </si>
  <si>
    <t>7942A100</t>
  </si>
  <si>
    <t>Loiseau, Nathalie</t>
  </si>
  <si>
    <t>Choisissez tout</t>
  </si>
  <si>
    <t>8 h. 16 min.</t>
  </si>
  <si>
    <t>Mme Carole De Poix, 2015</t>
  </si>
  <si>
    <t>7943A100</t>
  </si>
  <si>
    <t>Rosnay, Tatiana de</t>
  </si>
  <si>
    <t>Manderley for ever</t>
  </si>
  <si>
    <t>17 h. 26 min.</t>
  </si>
  <si>
    <t>7945A100</t>
  </si>
  <si>
    <t>Brécart, Anne</t>
  </si>
  <si>
    <t>La femme provisoire</t>
  </si>
  <si>
    <t>4 h. 20 min.</t>
  </si>
  <si>
    <t>7946A100</t>
  </si>
  <si>
    <t>Barnett, Emily</t>
  </si>
  <si>
    <t>Mary</t>
  </si>
  <si>
    <t>7947A100</t>
  </si>
  <si>
    <t>Walker, Karen Thomson</t>
  </si>
  <si>
    <t>L'âge des miracles</t>
  </si>
  <si>
    <t>Elsa Romano</t>
  </si>
  <si>
    <t>7949A100</t>
  </si>
  <si>
    <t>Seksik, Laurent</t>
  </si>
  <si>
    <t>L'exercice de la médecine : roman</t>
  </si>
  <si>
    <t>9 h. 40 min.</t>
  </si>
  <si>
    <t>7950A100</t>
  </si>
  <si>
    <t>Pourtalès, Guy de</t>
  </si>
  <si>
    <t>La pêche miraculeuse</t>
  </si>
  <si>
    <t>19 h. 57 min.</t>
  </si>
  <si>
    <t>M. Philippe Léchaire, 2015</t>
  </si>
  <si>
    <t>7951A100</t>
  </si>
  <si>
    <t>London, Jack</t>
  </si>
  <si>
    <t>L'enjeu</t>
  </si>
  <si>
    <t>2 h. 04 min.</t>
  </si>
  <si>
    <t>Jacques Gamblin</t>
  </si>
  <si>
    <t>7952A100</t>
  </si>
  <si>
    <t>Nothomb, Amélie</t>
  </si>
  <si>
    <t>Le crime du comte Neville</t>
  </si>
  <si>
    <t>2 h. 06 min.</t>
  </si>
  <si>
    <t>Françoise Gillard</t>
  </si>
  <si>
    <t>7953A100</t>
  </si>
  <si>
    <t>Levi, Primo</t>
  </si>
  <si>
    <t>Si c'est un homme</t>
  </si>
  <si>
    <t>Raphaël Enthoven</t>
  </si>
  <si>
    <t>7954A100</t>
  </si>
  <si>
    <t>Defossé, Alain</t>
  </si>
  <si>
    <t>Effraction : roman</t>
  </si>
  <si>
    <t>Mme Carole de Poix, 2015</t>
  </si>
  <si>
    <t>7955A100</t>
  </si>
  <si>
    <t>Grangé, Jean-Christophe</t>
  </si>
  <si>
    <t>Lontano</t>
  </si>
  <si>
    <t>23 h. 53 min.</t>
  </si>
  <si>
    <t>Hugues Martel</t>
  </si>
  <si>
    <t>7956A100</t>
  </si>
  <si>
    <t>Bobin, Christian</t>
  </si>
  <si>
    <t>Noireclaire</t>
  </si>
  <si>
    <t>7958A100</t>
  </si>
  <si>
    <t>Des éclairs</t>
  </si>
  <si>
    <t>Jean Echenoz</t>
  </si>
  <si>
    <t>7959A100</t>
  </si>
  <si>
    <t>Minoui, Delphine</t>
  </si>
  <si>
    <t>Je vous écris de Téhéran</t>
  </si>
  <si>
    <t>7960A100</t>
  </si>
  <si>
    <t>Doerr, Anthony</t>
  </si>
  <si>
    <t>Toute la lumière que nous ne pouvons voir</t>
  </si>
  <si>
    <t>16 h. 18 min.</t>
  </si>
  <si>
    <t>Denis Laustriat</t>
  </si>
  <si>
    <t>7961A100</t>
  </si>
  <si>
    <t>Signol, Christian</t>
  </si>
  <si>
    <t>Une vie de lumière et de vent : roman</t>
  </si>
  <si>
    <t>4 h. 53 min.</t>
  </si>
  <si>
    <t>7962A100</t>
  </si>
  <si>
    <t>Barrows, Annie</t>
  </si>
  <si>
    <t>Le secret de la manufacture de chaussettes inusables</t>
  </si>
  <si>
    <t>18 h. 30 min.</t>
  </si>
  <si>
    <t>Claire Tefnin</t>
  </si>
  <si>
    <t>7963A100</t>
  </si>
  <si>
    <t>Wood, Benjamin</t>
  </si>
  <si>
    <t>Le complexe d'Eden Bellwether</t>
  </si>
  <si>
    <t>14 h. 45 min.</t>
  </si>
  <si>
    <t>7964A100</t>
  </si>
  <si>
    <t>Lemaitre, Pierre</t>
  </si>
  <si>
    <t>Travail soigné</t>
  </si>
  <si>
    <t>12 h. 39 min.</t>
  </si>
  <si>
    <t>7965A100</t>
  </si>
  <si>
    <t>Pascaud, Dominique</t>
  </si>
  <si>
    <t>Figurante</t>
  </si>
  <si>
    <t>3 h. 07 min.</t>
  </si>
  <si>
    <t>7966A100</t>
  </si>
  <si>
    <t>Aller simple pour Nomad Island : roman</t>
  </si>
  <si>
    <t>5 h. 50 min.</t>
  </si>
  <si>
    <t>7968A100</t>
  </si>
  <si>
    <t>Malet, Léo</t>
  </si>
  <si>
    <t>Les nouveaux mystères de Paris : Pas de bavards à la Muette : Une enquête de Nestor Burma</t>
  </si>
  <si>
    <t>6 h. 01 min.</t>
  </si>
  <si>
    <t>José Heuzé</t>
  </si>
  <si>
    <t>7969A100</t>
  </si>
  <si>
    <t>Les nouveaux mystères de Paris : Brouillard au pont de Tolbiac : Une enquête de Nestor Burma</t>
  </si>
  <si>
    <t>4 h. 51 min.</t>
  </si>
  <si>
    <t>7970A100</t>
  </si>
  <si>
    <t>Liaut, Jean-Noël</t>
  </si>
  <si>
    <t>Les anges du bizarre : un siècle d'excentriques</t>
  </si>
  <si>
    <t>9.30</t>
  </si>
  <si>
    <t>7971A100</t>
  </si>
  <si>
    <t>Saint-Exupéry, Antoine de</t>
  </si>
  <si>
    <t>Le petit prince</t>
  </si>
  <si>
    <t>2 h. 07 min.</t>
  </si>
  <si>
    <t>Bernard Giraudeau</t>
  </si>
  <si>
    <t>7972A100</t>
  </si>
  <si>
    <t>Charnay, Désiré</t>
  </si>
  <si>
    <t>Madagascar : carnet de voyage en 1862</t>
  </si>
  <si>
    <t>2 h. 10 min.</t>
  </si>
  <si>
    <t>7974A100</t>
  </si>
  <si>
    <t>Le poète</t>
  </si>
  <si>
    <t>16 h. 28 min.</t>
  </si>
  <si>
    <t>7975A100</t>
  </si>
  <si>
    <t>Khoury-Ghata, Vénus</t>
  </si>
  <si>
    <t>La femme qui ne savait pas garder les hommes</t>
  </si>
  <si>
    <t>2 h. 05 min.</t>
  </si>
  <si>
    <t>7976A100</t>
  </si>
  <si>
    <t>Quand le diable sortit de la salle de bain : roman improvisé, interruptif et pas sérieux</t>
  </si>
  <si>
    <t>7978A100</t>
  </si>
  <si>
    <t>Kundera, Milan</t>
  </si>
  <si>
    <t>L'insoutenable légèreté de l'être</t>
  </si>
  <si>
    <t>8 h. 32 min.</t>
  </si>
  <si>
    <t>7979A100</t>
  </si>
  <si>
    <t>Maggetti, Daniel</t>
  </si>
  <si>
    <t>La veuve à l'enfant</t>
  </si>
  <si>
    <t>3 h. 47 min.</t>
  </si>
  <si>
    <t>7980A100</t>
  </si>
  <si>
    <t>Les nouveaux mystères de Paris : Boulevard... ossements : Une enquête de Nestor Burma</t>
  </si>
  <si>
    <t>7982A100</t>
  </si>
  <si>
    <t>Le soleil des mourants : roman</t>
  </si>
  <si>
    <t>6 h. 20 min.</t>
  </si>
  <si>
    <t>7983A100</t>
  </si>
  <si>
    <t>Vichi, Marco</t>
  </si>
  <si>
    <t>Le commissaire Bordelli</t>
  </si>
  <si>
    <t>7984A100</t>
  </si>
  <si>
    <t>Teulé, Jean</t>
  </si>
  <si>
    <t>Héloïse, ouille ! ; suivi d'un entretien entre J. Teulé et D. Pinon</t>
  </si>
  <si>
    <t>7 h. 51 min.</t>
  </si>
  <si>
    <t>1.16</t>
  </si>
  <si>
    <t>7985A100</t>
  </si>
  <si>
    <t>Anglade, Jean</t>
  </si>
  <si>
    <t>Le faucheur d'ombres</t>
  </si>
  <si>
    <t>11 h. 42 min.</t>
  </si>
  <si>
    <t>Alain Lawrence</t>
  </si>
  <si>
    <t>7986A100</t>
  </si>
  <si>
    <t>Férey, Caryl</t>
  </si>
  <si>
    <t>Haka</t>
  </si>
  <si>
    <t>7987A100</t>
  </si>
  <si>
    <t>Mapuche</t>
  </si>
  <si>
    <t>16 h. 54 min.</t>
  </si>
  <si>
    <t>Mme Anne-Marie Charles, AVH</t>
  </si>
  <si>
    <t>7988A100</t>
  </si>
  <si>
    <t>Ingelman-Sundberg, Catharina</t>
  </si>
  <si>
    <t>Le gang des dentiers fait sauter la banque</t>
  </si>
  <si>
    <t>9 h. 30 min.</t>
  </si>
  <si>
    <t>7990A100</t>
  </si>
  <si>
    <t>Werba, Séverine</t>
  </si>
  <si>
    <t>Appartenir : roman</t>
  </si>
  <si>
    <t>Mme Clelia Strambo, 2015</t>
  </si>
  <si>
    <t>7991A100</t>
  </si>
  <si>
    <t>Desplechin, Marie</t>
  </si>
  <si>
    <t>Sans moi : roman</t>
  </si>
  <si>
    <t>6 h. 17 min.</t>
  </si>
  <si>
    <t>Françoise Miquélis</t>
  </si>
  <si>
    <t>7992A100</t>
  </si>
  <si>
    <t>Millar, Sam</t>
  </si>
  <si>
    <t>Les chiens de Belfast</t>
  </si>
  <si>
    <t>Lazare Herson-Macarel</t>
  </si>
  <si>
    <t>7993A100</t>
  </si>
  <si>
    <t>Utu : un thriller chez les Maoris</t>
  </si>
  <si>
    <t>10 h. 32 min.</t>
  </si>
  <si>
    <t>M. Jean-Yves Fournier, AVH</t>
  </si>
  <si>
    <t>7994A100</t>
  </si>
  <si>
    <t>Nesbo, Jo</t>
  </si>
  <si>
    <t>Le fils</t>
  </si>
  <si>
    <t>16 h. 12 min.</t>
  </si>
  <si>
    <t>Frédéric Dimnet</t>
  </si>
  <si>
    <t>7995A100</t>
  </si>
  <si>
    <t>Pandemia</t>
  </si>
  <si>
    <t>17 h. 09 min.</t>
  </si>
  <si>
    <t>7996A100</t>
  </si>
  <si>
    <t>Benzoni, Juliette</t>
  </si>
  <si>
    <t>Reines tragiques</t>
  </si>
  <si>
    <t>11 h. 01 min.</t>
  </si>
  <si>
    <t>Mme Renée Coquemont, AVH</t>
  </si>
  <si>
    <t>7997A100</t>
  </si>
  <si>
    <t>Le livre des Baltimore</t>
  </si>
  <si>
    <t>14 h. 02 min.</t>
  </si>
  <si>
    <t>7998A100</t>
  </si>
  <si>
    <t>Énard, Mathias</t>
  </si>
  <si>
    <t>Boussole</t>
  </si>
  <si>
    <t>M. André Cortessis, BSR</t>
  </si>
  <si>
    <t>7999A100</t>
  </si>
  <si>
    <t>Berberova, Nina</t>
  </si>
  <si>
    <t>L'affaire Kravtchenko</t>
  </si>
  <si>
    <t>7 h. 54 min.</t>
  </si>
  <si>
    <t>8001A100</t>
  </si>
  <si>
    <t>Goldring, Maurice</t>
  </si>
  <si>
    <t>Les ex-communistes : éloge de l'infidélité</t>
  </si>
  <si>
    <t>Mme Agnès Hatt, AVH</t>
  </si>
  <si>
    <t>8002A100</t>
  </si>
  <si>
    <t>Diamond, Jared</t>
  </si>
  <si>
    <t>Le monde jusqu'à hier : ce que nous apprennent les sociétés traditionnelles</t>
  </si>
  <si>
    <t>20 h. 13 min.</t>
  </si>
  <si>
    <t>8003A100</t>
  </si>
  <si>
    <t>La cousine Bette</t>
  </si>
  <si>
    <t>16 h. 32 min.</t>
  </si>
  <si>
    <t>Manon Combes</t>
  </si>
  <si>
    <t>8004A100</t>
  </si>
  <si>
    <t>Levine, John R.</t>
  </si>
  <si>
    <t>Internet pour les nuls</t>
  </si>
  <si>
    <t>Mme Anne Rosier, LB</t>
  </si>
  <si>
    <t>9.681</t>
  </si>
  <si>
    <t>8005A100</t>
  </si>
  <si>
    <t>Quellier, Florent</t>
  </si>
  <si>
    <t>Gourmandise : histoire d'un péché capital</t>
  </si>
  <si>
    <t>Mme Danielle Piette, LB</t>
  </si>
  <si>
    <t>8006A100</t>
  </si>
  <si>
    <t>Reynaert, François</t>
  </si>
  <si>
    <t>Le kit du 21e siècle : nouveau manuel de culture générale</t>
  </si>
  <si>
    <t>8007A100</t>
  </si>
  <si>
    <t>Schneider, Helga</t>
  </si>
  <si>
    <t>L'incendie de Berlin</t>
  </si>
  <si>
    <t>8008A100</t>
  </si>
  <si>
    <t>Doctorow, Edgar Lawrence</t>
  </si>
  <si>
    <t>Homer &amp; Langley</t>
  </si>
  <si>
    <t>7 h. 42 min.</t>
  </si>
  <si>
    <t>Mme Nicole Renard, LB</t>
  </si>
  <si>
    <t>8009A100</t>
  </si>
  <si>
    <t>Ricard, Matthieu</t>
  </si>
  <si>
    <t>L'infini dans la paume de la main : du big bang à l'éveil</t>
  </si>
  <si>
    <t>16 h. 10 min.</t>
  </si>
  <si>
    <t>Mme Hélène Poirier, INCA</t>
  </si>
  <si>
    <t>8010A100</t>
  </si>
  <si>
    <t>Forand, Claude</t>
  </si>
  <si>
    <t>Un moine trop bavard</t>
  </si>
  <si>
    <t>8011A100</t>
  </si>
  <si>
    <t>Thomas, Chantal</t>
  </si>
  <si>
    <t>L'échange des princesses</t>
  </si>
  <si>
    <t>Mme Evelyne Dechorgnat, AVH</t>
  </si>
  <si>
    <t>8012A100</t>
  </si>
  <si>
    <t>Aillagon, Jean-Jacques</t>
  </si>
  <si>
    <t>Versailles en 50 dates</t>
  </si>
  <si>
    <t>M. René Bonnin, AVH</t>
  </si>
  <si>
    <t>8013A100</t>
  </si>
  <si>
    <t>Bern, Stéphane</t>
  </si>
  <si>
    <t>Les pourquoi de l'Histoire</t>
  </si>
  <si>
    <t>8 h. 06 min.</t>
  </si>
  <si>
    <t>Mme Catherine Le Guillou, AVH</t>
  </si>
  <si>
    <t>8014A100</t>
  </si>
  <si>
    <t>Mankell (par) Mankell : un portrait</t>
  </si>
  <si>
    <t>Mme Jacqueline Itkiss, AVH</t>
  </si>
  <si>
    <t>8015A100</t>
  </si>
  <si>
    <t>Dupuy, Marie-Bernadette</t>
  </si>
  <si>
    <t>L'amour écorché</t>
  </si>
  <si>
    <t>11 h. 10 min.</t>
  </si>
  <si>
    <t>8016A100</t>
  </si>
  <si>
    <t>La conjuration primitive</t>
  </si>
  <si>
    <t>14 h. 23 min.</t>
  </si>
  <si>
    <t>8017A100</t>
  </si>
  <si>
    <t>Sacks, Oliver</t>
  </si>
  <si>
    <t>L'odeur du si bémol : l'univers des hallucinations</t>
  </si>
  <si>
    <t>9 h. 55 min.</t>
  </si>
  <si>
    <t>Mme Béatrice Loyer, AVH</t>
  </si>
  <si>
    <t>8018A100</t>
  </si>
  <si>
    <t>Garnier, Pascal</t>
  </si>
  <si>
    <t>Trop près du bord</t>
  </si>
  <si>
    <t>Mme Annie Meallet, AVH</t>
  </si>
  <si>
    <t>8019A100</t>
  </si>
  <si>
    <t>Mazeau, Jacques</t>
  </si>
  <si>
    <t>La ferme de l'enfer</t>
  </si>
  <si>
    <t>8 h. 17 min.</t>
  </si>
  <si>
    <t>8020A100</t>
  </si>
  <si>
    <t>Lagercrantz, David</t>
  </si>
  <si>
    <t>Millénium : [4] : Ce qui ne me tue pas</t>
  </si>
  <si>
    <t>Emmanuel Dekoninck</t>
  </si>
  <si>
    <t>8022A100</t>
  </si>
  <si>
    <t>Côte, Nathalie</t>
  </si>
  <si>
    <t>Le renversement des pôles : roman</t>
  </si>
  <si>
    <t>4 h. 02 min.</t>
  </si>
  <si>
    <t>Mme Lilliane Roskopf, 2015</t>
  </si>
  <si>
    <t>8023A100</t>
  </si>
  <si>
    <t>Braun, Lilian Jackson</t>
  </si>
  <si>
    <t>Le chat qui parlait dindon</t>
  </si>
  <si>
    <t>4 h. 48 min.</t>
  </si>
  <si>
    <t>M. Marc Charreton, AVH</t>
  </si>
  <si>
    <t>8024A100</t>
  </si>
  <si>
    <t>Edmond, Paul</t>
  </si>
  <si>
    <t>Mon chat s'appelle Odilon</t>
  </si>
  <si>
    <t>1 h. 08 min.</t>
  </si>
  <si>
    <t>Lecteurs multiples, AVH</t>
  </si>
  <si>
    <t>8025A100</t>
  </si>
  <si>
    <t>Grousset, René</t>
  </si>
  <si>
    <t>Bilan de l'Histoire</t>
  </si>
  <si>
    <t>10 h. 02 min.</t>
  </si>
  <si>
    <t>8026A100</t>
  </si>
  <si>
    <t>Van Reybrouck, David</t>
  </si>
  <si>
    <t>Congo, une histoire</t>
  </si>
  <si>
    <t>23 h. 30 min.</t>
  </si>
  <si>
    <t>Mme Evelyne Fournier, AVH</t>
  </si>
  <si>
    <t>8027A100</t>
  </si>
  <si>
    <t>Guréghian, Jean-Varoujean</t>
  </si>
  <si>
    <t>Histoire d'Arménie</t>
  </si>
  <si>
    <t>Mme Mireille Girardot, AVH</t>
  </si>
  <si>
    <t>8028A100</t>
  </si>
  <si>
    <t>Antonetti, Pierre</t>
  </si>
  <si>
    <t>Histoire de Florence</t>
  </si>
  <si>
    <t>5 h. 39 min.</t>
  </si>
  <si>
    <t>M. Pierre Gautier, AVH</t>
  </si>
  <si>
    <t>8029A100</t>
  </si>
  <si>
    <t>Benameur, Jeanne</t>
  </si>
  <si>
    <t>Otages intimes : roman</t>
  </si>
  <si>
    <t>4 h. 13 min.</t>
  </si>
  <si>
    <t>8030A100</t>
  </si>
  <si>
    <t>Giraud, Marc</t>
  </si>
  <si>
    <t>Darwin, c'est tout bête ! : mille et une histoires d'animaux pour comprendre l'évolution</t>
  </si>
  <si>
    <t>10 h. 48 min.</t>
  </si>
  <si>
    <t>Mme Joselyne Dole, AVH</t>
  </si>
  <si>
    <t>9.572</t>
  </si>
  <si>
    <t>8031A100</t>
  </si>
  <si>
    <t>La dernière danse des Maoris</t>
  </si>
  <si>
    <t>Mme Nadine Wergifosse, LB</t>
  </si>
  <si>
    <t>8032A100</t>
  </si>
  <si>
    <t>Heller, Brigitte</t>
  </si>
  <si>
    <t>Petites histoires des expressions de la mythologie</t>
  </si>
  <si>
    <t>3 h. 34 min.</t>
  </si>
  <si>
    <t>M. André Bruyneel, LB</t>
  </si>
  <si>
    <t>8033A100</t>
  </si>
  <si>
    <t>La Belgique : le roman d'un pays</t>
  </si>
  <si>
    <t>4 h. 31 min.</t>
  </si>
  <si>
    <t>M. Roger Mergan, LB</t>
  </si>
  <si>
    <t>8034A100</t>
  </si>
  <si>
    <t>La spectaculaire histoire des rois des Belges : roman-feuilleton</t>
  </si>
  <si>
    <t>14 h. 29 min.</t>
  </si>
  <si>
    <t>8035A100</t>
  </si>
  <si>
    <t>Le cousin de Fragonard</t>
  </si>
  <si>
    <t>5 h. 40 min.</t>
  </si>
  <si>
    <t>Mme Colette Danheux, LB</t>
  </si>
  <si>
    <t>8036A100</t>
  </si>
  <si>
    <t>Detambel, Régine</t>
  </si>
  <si>
    <t>Les livres prennent soin de nous : pour une bibliothérapie créative : essai</t>
  </si>
  <si>
    <t>3 h. 20 min.</t>
  </si>
  <si>
    <t>Mme Virginie Spaak, LB</t>
  </si>
  <si>
    <t>8037A100</t>
  </si>
  <si>
    <t>Lejoyeux, Michel</t>
  </si>
  <si>
    <t>Les 5 clés du comportement : construire soi-même son optimisme</t>
  </si>
  <si>
    <t>9 h. 34 min.</t>
  </si>
  <si>
    <t>Mme Ghislaine Lleixa-Dauphin, AVH</t>
  </si>
  <si>
    <t>8038A100</t>
  </si>
  <si>
    <t>Mirej, Mireille</t>
  </si>
  <si>
    <t>Tout pour mon chat : l'accueillir, le choyer, le soigner</t>
  </si>
  <si>
    <t>3 h. 11 min.</t>
  </si>
  <si>
    <t>8039A100</t>
  </si>
  <si>
    <t>Rewald, John</t>
  </si>
  <si>
    <t>Cézanne</t>
  </si>
  <si>
    <t>Mme Geneviève Taccard, AVH</t>
  </si>
  <si>
    <t>8040A100</t>
  </si>
  <si>
    <t>Des Isnards, Alexandre</t>
  </si>
  <si>
    <t>Facebook m'a tuer</t>
  </si>
  <si>
    <t>Mme Nicole Roche, AVH</t>
  </si>
  <si>
    <t>8041A100</t>
  </si>
  <si>
    <t>Semprún, Jorge</t>
  </si>
  <si>
    <t>Le mort qu'il faut</t>
  </si>
  <si>
    <t>8043A100</t>
  </si>
  <si>
    <t>Poe, Edgar Allan</t>
  </si>
  <si>
    <t>Histoires extraordinaires</t>
  </si>
  <si>
    <t>Denis Lavant, Roland Giraud</t>
  </si>
  <si>
    <t>8044A100</t>
  </si>
  <si>
    <t>Joubert, Catherine</t>
  </si>
  <si>
    <t>Déshabillez-moi : psychanalyse des comportements vestimentaires</t>
  </si>
  <si>
    <t>Mme Anne Tardy, AVH</t>
  </si>
  <si>
    <t>8045A100</t>
  </si>
  <si>
    <t>Bly, Nelly</t>
  </si>
  <si>
    <t>10 jours dans un asile</t>
  </si>
  <si>
    <t>8046A100</t>
  </si>
  <si>
    <t>Vigan, Delphine de</t>
  </si>
  <si>
    <t>D'après une histoire vraie</t>
  </si>
  <si>
    <t>Marianne Épin</t>
  </si>
  <si>
    <t>8047A100</t>
  </si>
  <si>
    <t>École-Boivin, Catherine</t>
  </si>
  <si>
    <t>Jeanne des falaises : roman</t>
  </si>
  <si>
    <t>6 h. 37 min.</t>
  </si>
  <si>
    <t>8048A100</t>
  </si>
  <si>
    <t>Delerm, Philippe</t>
  </si>
  <si>
    <t>Les eaux troubles du mojito : et autres belles raisons d'habiter sur terre</t>
  </si>
  <si>
    <t>1 h. 52 min.</t>
  </si>
  <si>
    <t>8049A100</t>
  </si>
  <si>
    <t>Morrison, Toni</t>
  </si>
  <si>
    <t>Délivrances</t>
  </si>
  <si>
    <t>5 h. 54 min.</t>
  </si>
  <si>
    <t>8050A100</t>
  </si>
  <si>
    <t>Lapaque, Sébastien</t>
  </si>
  <si>
    <t>La théorie de Rio de Janeiro</t>
  </si>
  <si>
    <t>2 h. 45 min.</t>
  </si>
  <si>
    <t>8051A100</t>
  </si>
  <si>
    <t>Mouron, Quentin</t>
  </si>
  <si>
    <t>Trois gouttes de sang et un nuage de coke</t>
  </si>
  <si>
    <t>6 h. 04 min.</t>
  </si>
  <si>
    <t>8052A100</t>
  </si>
  <si>
    <t>Weber, Anne</t>
  </si>
  <si>
    <t>Vaterland : récit</t>
  </si>
  <si>
    <t>8053A100</t>
  </si>
  <si>
    <t>Daull, Sophie</t>
  </si>
  <si>
    <t>Camille, mon envolée</t>
  </si>
  <si>
    <t>8054A100</t>
  </si>
  <si>
    <t>Bérot, Violaine</t>
  </si>
  <si>
    <t>Des mots jamais dits</t>
  </si>
  <si>
    <t>8056A100</t>
  </si>
  <si>
    <t>Roche, Florence</t>
  </si>
  <si>
    <t>La terre des Falgères : roman</t>
  </si>
  <si>
    <t>10 h. 34 min.</t>
  </si>
  <si>
    <t>compter le nbr de caractères pour créer la fonction si</t>
  </si>
  <si>
    <t>extraire les heures</t>
  </si>
  <si>
    <t>convertir le texte en heures</t>
  </si>
  <si>
    <t>extraire les minutes</t>
  </si>
  <si>
    <t>Eliminer le texte min.</t>
  </si>
  <si>
    <t>convertir en numérique</t>
  </si>
  <si>
    <t>concaténer les h et min</t>
  </si>
  <si>
    <t>convertir en nbr et lui donner le fomat numérique [hh]:mm</t>
  </si>
  <si>
    <t>7 h. 00 min.</t>
  </si>
  <si>
    <t>6 h. 00 min.</t>
  </si>
  <si>
    <t>2 h. 00 min.</t>
  </si>
  <si>
    <t>3 h. 00 min.</t>
  </si>
  <si>
    <t>8 h. 00 min.</t>
  </si>
  <si>
    <t>20 h. 00 min.</t>
  </si>
  <si>
    <t>10 h. 00 min.</t>
  </si>
  <si>
    <t>15 h. 00 min.</t>
  </si>
  <si>
    <t>00 h. 44 min.</t>
  </si>
  <si>
    <t>00 h. 09 min.</t>
  </si>
  <si>
    <t>00 h. 38 min.</t>
  </si>
  <si>
    <t>00 h. 59 min.</t>
  </si>
  <si>
    <t>00 h. 48 min.</t>
  </si>
  <si>
    <t>00 h. 26 min.</t>
  </si>
  <si>
    <t>00 h. 25 min.</t>
  </si>
  <si>
    <t>00 h. 24 min.</t>
  </si>
  <si>
    <t>00 h. 17 min.</t>
  </si>
  <si>
    <t>00 h. 37 min.</t>
  </si>
  <si>
    <t>00 h. 43 min.</t>
  </si>
  <si>
    <t>00 h. 14 min.</t>
  </si>
  <si>
    <t>00 h. 41 min.</t>
  </si>
  <si>
    <t>00 h. 29 min.</t>
  </si>
  <si>
    <t>00 h. 55 min.</t>
  </si>
  <si>
    <t>00 h. 18 min.</t>
  </si>
  <si>
    <t>00 h. 28 min.</t>
  </si>
  <si>
    <t>00 h. 58 min.</t>
  </si>
  <si>
    <t>00 h. 20 min.</t>
  </si>
  <si>
    <t>00 h. 21 min.</t>
  </si>
  <si>
    <t>40</t>
  </si>
  <si>
    <t>Chiffre obtenu dans digibook</t>
  </si>
  <si>
    <t>12 h. 37 min.</t>
  </si>
  <si>
    <t>14 h. 40 min.</t>
  </si>
  <si>
    <t>10 h. 07 min.</t>
  </si>
  <si>
    <t>12 h. 45 min.</t>
  </si>
  <si>
    <t>12 h. 58 min.</t>
  </si>
  <si>
    <t>total studios + domicile</t>
  </si>
  <si>
    <t>total des ouvrages sur lesquels une structure a été ajoutée</t>
  </si>
  <si>
    <t>Total acquisitions de partenaires</t>
  </si>
  <si>
    <t>Chiffre obtenu dans Digibook</t>
  </si>
  <si>
    <t>total des totaux séparés pour vérif</t>
  </si>
  <si>
    <t>Nbr de titres produits</t>
  </si>
  <si>
    <t>heures totales d'enregistrement</t>
  </si>
  <si>
    <t>5 votations en X exempalires)</t>
  </si>
  <si>
    <t>1x Gazette vallon</t>
  </si>
  <si>
    <t>40 titres, 271 h 33 min (NetBib)</t>
  </si>
  <si>
    <t>206 titres, 1439 h. 46 min (NetBib)</t>
  </si>
  <si>
    <t xml:space="preserve">voir dans le fichier </t>
  </si>
  <si>
    <t>Heures brailles effectuées :</t>
  </si>
  <si>
    <t>2015-TRIM.xlsx</t>
  </si>
  <si>
    <t>No d'exemplaire</t>
  </si>
  <si>
    <t>Type de média 2</t>
  </si>
  <si>
    <t>E</t>
  </si>
  <si>
    <t>D</t>
  </si>
  <si>
    <t>S</t>
  </si>
  <si>
    <t>N</t>
  </si>
  <si>
    <t>L</t>
  </si>
  <si>
    <t>R</t>
  </si>
  <si>
    <t>RT</t>
  </si>
  <si>
    <t>B</t>
  </si>
  <si>
    <t>H</t>
  </si>
  <si>
    <t>U</t>
  </si>
  <si>
    <t>T</t>
  </si>
  <si>
    <t>O</t>
  </si>
  <si>
    <t>FA</t>
  </si>
  <si>
    <t>X</t>
  </si>
  <si>
    <t>Fictions</t>
  </si>
  <si>
    <t>Littératures diverses</t>
  </si>
  <si>
    <t>documentaires</t>
  </si>
  <si>
    <t>Total des ouvrages</t>
  </si>
  <si>
    <t>validation</t>
  </si>
  <si>
    <t>voir dans le fichier</t>
  </si>
  <si>
    <t>Heures de copies de CD et de titres transférés :</t>
  </si>
  <si>
    <t>2015-copies-de-CD+transferts.xlsx</t>
  </si>
  <si>
    <t>Heures manquantes (vac, f, cours…)</t>
  </si>
  <si>
    <t>Heures pour prestations payées</t>
  </si>
  <si>
    <t>Votations genevoises</t>
  </si>
  <si>
    <t>Transcription documents FSA</t>
  </si>
  <si>
    <t>réalisées par collègue HdV</t>
  </si>
  <si>
    <t>Gestion des prod FSA</t>
  </si>
  <si>
    <t>Impression FSA</t>
  </si>
  <si>
    <t>Petites prod diverses payées</t>
  </si>
  <si>
    <t>Animations payées</t>
  </si>
  <si>
    <t>Impression Algerie</t>
  </si>
  <si>
    <t>Total heures payées</t>
  </si>
  <si>
    <t>Poste à plein temps pour prestations vendues</t>
  </si>
  <si>
    <t>Relecture de documents internes (orghographe…)</t>
  </si>
  <si>
    <t>Conseils orientation en réception</t>
  </si>
  <si>
    <t>Représentations externes</t>
  </si>
  <si>
    <t>Gestion du personnel</t>
  </si>
  <si>
    <t>Manutentions/relectures pour l'ABA</t>
  </si>
  <si>
    <t>Prestations facturées</t>
  </si>
  <si>
    <t>Relations publiques ( bibliothèques publiques, consortium, bibliothèques étrangères, CIR)</t>
  </si>
  <si>
    <t>CCA (+ interventions BBR)</t>
  </si>
  <si>
    <t>Conseils en accessibilité (BBR)</t>
  </si>
  <si>
    <t>Animation braille</t>
  </si>
  <si>
    <t>Entretien des locaux</t>
  </si>
  <si>
    <t>Projet "remise à niveau connaissances braille"</t>
  </si>
  <si>
    <t>total général</t>
  </si>
  <si>
    <t>heures non productives</t>
  </si>
  <si>
    <t>non productives BBR, annoncées CCA</t>
  </si>
  <si>
    <t>non productives BBR, facturées</t>
  </si>
  <si>
    <t>Heures pour produit (y compris CCA et facturées)</t>
  </si>
  <si>
    <t>Heures pour produit totales (BBR + CCA + facturées)</t>
  </si>
  <si>
    <t>Heures brutes prof. BBR y compris heures vendues</t>
  </si>
  <si>
    <t>Prestations factuées réalisées par des collègues HdV</t>
  </si>
  <si>
    <t>Prestations facturées totales</t>
  </si>
  <si>
    <t xml:space="preserve">Prestations facturées réalisés par collègues voyants </t>
  </si>
  <si>
    <t>Heures travaillées non productives BBR</t>
  </si>
  <si>
    <t>Heures travaillées portées au CCA</t>
  </si>
  <si>
    <t>poste à plein temps (total)</t>
  </si>
  <si>
    <t>poste à plein temps (hors prest.v)</t>
  </si>
  <si>
    <t>Mohnhaupt Martin</t>
  </si>
  <si>
    <t>Heures non productives hors CCA</t>
  </si>
  <si>
    <t>Heures pour absences payées (service civile, militaire, maladies…)</t>
  </si>
  <si>
    <t>Heures improductives pour overhead…</t>
  </si>
  <si>
    <t>Heures improductives à signaler à LM pour transmission ou non au CCA ou CIR</t>
  </si>
  <si>
    <t>§</t>
  </si>
  <si>
    <t>Heures improductives overhead</t>
  </si>
  <si>
    <t>Pour décompte SBS / OFAS</t>
  </si>
  <si>
    <t>heures brutes professionnels</t>
  </si>
  <si>
    <t>heures productives</t>
  </si>
  <si>
    <t>heures absences payées</t>
  </si>
  <si>
    <r>
      <t>Heures pour produit réelles (sans les prestations vendues-</t>
    </r>
    <r>
      <rPr>
        <u/>
        <sz val="11"/>
        <color theme="1"/>
        <rFont val="Calibri"/>
        <family val="2"/>
        <scheme val="minor"/>
      </rPr>
      <t>SANS</t>
    </r>
    <r>
      <rPr>
        <sz val="11"/>
        <color theme="1"/>
        <rFont val="Calibri"/>
        <family val="2"/>
        <scheme val="minor"/>
      </rPr>
      <t xml:space="preserve"> CCA)</t>
    </r>
  </si>
  <si>
    <r>
      <t xml:space="preserve">Heures brutes prof. BBR (sans prestations vendues </t>
    </r>
    <r>
      <rPr>
        <u/>
        <sz val="11"/>
        <rFont val="Calibri"/>
        <family val="2"/>
        <scheme val="minor"/>
      </rPr>
      <t>AVEC</t>
    </r>
    <r>
      <rPr>
        <sz val="11"/>
        <rFont val="Calibri"/>
        <family val="2"/>
        <scheme val="minor"/>
      </rPr>
      <t xml:space="preserve"> CCA)</t>
    </r>
  </si>
  <si>
    <t>Pour le doc ofas / SBS</t>
  </si>
  <si>
    <t>Heures overhead non prod gestion (partie des 78 + 79)</t>
  </si>
  <si>
    <t>en heures</t>
  </si>
  <si>
    <t>15268:32</t>
  </si>
  <si>
    <t>24402:08</t>
  </si>
  <si>
    <t>Heures non productives</t>
  </si>
  <si>
    <t>total improductif</t>
  </si>
  <si>
    <t>hors honorifiques</t>
  </si>
  <si>
    <t>Bénévoles hors honorifiques (OFAS)</t>
  </si>
  <si>
    <t>Bénévoles "actifs"</t>
  </si>
  <si>
    <t>Dès 2016 ajouter ici les heures des bénévoles pouvant être reconnus "actifs" selon les critères de l'OFAS cf. doc :</t>
  </si>
  <si>
    <t>..\..\Informations_pour_realisation\BBR-heures-productives.docx</t>
  </si>
  <si>
    <t>puis soustraire ces heures pour le RA ABA qui les inclut déjà dans son décompte des heures réalisées par les bénévoles</t>
  </si>
</sst>
</file>

<file path=xl/styles.xml><?xml version="1.0" encoding="utf-8"?>
<styleSheet xmlns="http://schemas.openxmlformats.org/spreadsheetml/2006/main">
  <numFmts count="2">
    <numFmt numFmtId="164" formatCode="0\ &quot;h./an&quot;"/>
    <numFmt numFmtId="165" formatCode="[hh]:mm"/>
  </numFmts>
  <fonts count="57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i/>
      <sz val="11"/>
      <color theme="0" tint="-0.249977111117893"/>
      <name val="Calibri"/>
      <family val="2"/>
      <scheme val="minor"/>
    </font>
    <font>
      <b/>
      <sz val="10"/>
      <color rgb="FFFF0000"/>
      <name val="Arial"/>
      <family val="2"/>
    </font>
    <font>
      <i/>
      <sz val="10"/>
      <color rgb="FFFF0000"/>
      <name val="Arial"/>
      <family val="2"/>
    </font>
    <font>
      <sz val="10"/>
      <name val="Arial"/>
      <family val="2"/>
    </font>
    <font>
      <sz val="10"/>
      <color theme="3" tint="0.39997558519241921"/>
      <name val="Arial"/>
      <family val="2"/>
    </font>
    <font>
      <sz val="1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i/>
      <sz val="10"/>
      <color theme="0" tint="-0.34998626667073579"/>
      <name val="Calibri"/>
      <family val="2"/>
      <scheme val="minor"/>
    </font>
    <font>
      <sz val="12"/>
      <color theme="1"/>
      <name val="Arial"/>
      <family val="2"/>
    </font>
    <font>
      <u/>
      <sz val="11"/>
      <color theme="10"/>
      <name val="Calibri"/>
      <family val="2"/>
    </font>
    <font>
      <i/>
      <sz val="11"/>
      <color theme="4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0"/>
      <name val="Arial"/>
      <family val="2"/>
    </font>
    <font>
      <b/>
      <sz val="10"/>
      <name val="Arial"/>
      <family val="2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sz val="10"/>
      <name val="Arial"/>
      <family val="2"/>
    </font>
    <font>
      <u/>
      <sz val="10"/>
      <name val="Arial"/>
      <family val="2"/>
    </font>
    <font>
      <sz val="11"/>
      <color theme="0" tint="-0.249977111117893"/>
      <name val="Calibri"/>
      <family val="2"/>
      <scheme val="minor"/>
    </font>
    <font>
      <sz val="10"/>
      <color theme="0" tint="-0.249977111117893"/>
      <name val="Arial"/>
      <family val="2"/>
    </font>
    <font>
      <b/>
      <sz val="14"/>
      <color rgb="FFFF0000"/>
      <name val="Arial"/>
      <family val="2"/>
    </font>
    <font>
      <b/>
      <sz val="14"/>
      <name val="Arial"/>
      <family val="2"/>
    </font>
    <font>
      <sz val="11"/>
      <color theme="3" tint="0.59999389629810485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color theme="3" tint="-0.249977111117893"/>
      <name val="Arial"/>
      <family val="2"/>
    </font>
    <font>
      <sz val="11"/>
      <color rgb="FF92D050"/>
      <name val="Calibri"/>
      <family val="2"/>
      <scheme val="minor"/>
    </font>
    <font>
      <b/>
      <sz val="10"/>
      <color theme="4" tint="-0.249977111117893"/>
      <name val="Arial"/>
      <family val="2"/>
    </font>
    <font>
      <sz val="10"/>
      <color rgb="FF00B050"/>
      <name val="Arial"/>
      <family val="2"/>
    </font>
    <font>
      <sz val="11"/>
      <color rgb="FF00B05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FF00"/>
      <name val="Arial"/>
      <family val="2"/>
    </font>
    <font>
      <b/>
      <sz val="10"/>
      <color rgb="FFFFFF00"/>
      <name val="Arial"/>
      <family val="2"/>
    </font>
    <font>
      <b/>
      <sz val="12"/>
      <color rgb="FFFF0000"/>
      <name val="Arial"/>
      <family val="2"/>
    </font>
    <font>
      <sz val="11"/>
      <color theme="0" tint="-0.499984740745262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i/>
      <sz val="10"/>
      <color theme="0" tint="-0.34998626667073579"/>
      <name val="Arial"/>
      <family val="2"/>
    </font>
    <font>
      <sz val="11"/>
      <color theme="0" tint="-0.34998626667073579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4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sz val="12"/>
      <color rgb="FFFF0000"/>
      <name val="Arial"/>
      <family val="2"/>
    </font>
    <font>
      <sz val="12"/>
      <name val="Arial"/>
      <family val="2"/>
    </font>
    <font>
      <u/>
      <sz val="11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/>
      <top style="medium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18" fillId="0" borderId="0" applyNumberFormat="0" applyFill="0" applyBorder="0" applyAlignment="0" applyProtection="0">
      <alignment vertical="top"/>
      <protection locked="0"/>
    </xf>
    <xf numFmtId="0" fontId="20" fillId="0" borderId="0"/>
  </cellStyleXfs>
  <cellXfs count="395">
    <xf numFmtId="0" fontId="0" fillId="0" borderId="0" xfId="0"/>
    <xf numFmtId="0" fontId="0" fillId="2" borderId="0" xfId="0" applyFill="1"/>
    <xf numFmtId="0" fontId="0" fillId="3" borderId="0" xfId="0" applyFill="1"/>
    <xf numFmtId="0" fontId="3" fillId="2" borderId="0" xfId="0" applyFont="1" applyFill="1"/>
    <xf numFmtId="0" fontId="3" fillId="0" borderId="0" xfId="0" applyFont="1"/>
    <xf numFmtId="0" fontId="4" fillId="2" borderId="0" xfId="0" applyFont="1" applyFill="1"/>
    <xf numFmtId="0" fontId="4" fillId="0" borderId="0" xfId="0" applyFont="1"/>
    <xf numFmtId="0" fontId="2" fillId="2" borderId="0" xfId="0" applyFont="1" applyFill="1"/>
    <xf numFmtId="0" fontId="5" fillId="0" borderId="0" xfId="0" applyFont="1"/>
    <xf numFmtId="0" fontId="6" fillId="0" borderId="0" xfId="0" applyFont="1"/>
    <xf numFmtId="0" fontId="1" fillId="2" borderId="0" xfId="0" applyFont="1" applyFill="1"/>
    <xf numFmtId="0" fontId="1" fillId="0" borderId="0" xfId="0" applyFont="1"/>
    <xf numFmtId="0" fontId="7" fillId="2" borderId="0" xfId="0" applyFont="1" applyFill="1" applyBorder="1"/>
    <xf numFmtId="0" fontId="0" fillId="0" borderId="0" xfId="0" applyFill="1"/>
    <xf numFmtId="0" fontId="8" fillId="2" borderId="1" xfId="0" applyFont="1" applyFill="1" applyBorder="1"/>
    <xf numFmtId="2" fontId="9" fillId="4" borderId="0" xfId="0" applyNumberFormat="1" applyFont="1" applyFill="1" applyBorder="1"/>
    <xf numFmtId="2" fontId="10" fillId="0" borderId="0" xfId="0" applyNumberFormat="1" applyFont="1" applyBorder="1"/>
    <xf numFmtId="0" fontId="11" fillId="2" borderId="0" xfId="0" applyFont="1" applyFill="1"/>
    <xf numFmtId="0" fontId="11" fillId="5" borderId="0" xfId="0" applyFont="1" applyFill="1"/>
    <xf numFmtId="0" fontId="0" fillId="6" borderId="0" xfId="0" applyFill="1"/>
    <xf numFmtId="0" fontId="4" fillId="6" borderId="0" xfId="0" applyFont="1" applyFill="1"/>
    <xf numFmtId="0" fontId="11" fillId="3" borderId="0" xfId="0" applyFont="1" applyFill="1"/>
    <xf numFmtId="0" fontId="5" fillId="2" borderId="0" xfId="0" applyFont="1" applyFill="1"/>
    <xf numFmtId="2" fontId="9" fillId="0" borderId="0" xfId="0" applyNumberFormat="1" applyFont="1" applyFill="1"/>
    <xf numFmtId="164" fontId="0" fillId="0" borderId="0" xfId="0" applyNumberFormat="1"/>
    <xf numFmtId="0" fontId="0" fillId="0" borderId="0" xfId="0" applyFill="1" applyBorder="1"/>
    <xf numFmtId="0" fontId="0" fillId="7" borderId="0" xfId="0" applyFill="1"/>
    <xf numFmtId="2" fontId="14" fillId="0" borderId="0" xfId="0" applyNumberFormat="1" applyFont="1" applyFill="1" applyAlignment="1">
      <alignment horizontal="left"/>
    </xf>
    <xf numFmtId="2" fontId="0" fillId="7" borderId="0" xfId="0" applyNumberFormat="1" applyFill="1"/>
    <xf numFmtId="2" fontId="0" fillId="0" borderId="0" xfId="0" applyNumberFormat="1" applyFill="1" applyBorder="1"/>
    <xf numFmtId="0" fontId="11" fillId="0" borderId="0" xfId="0" applyFont="1" applyFill="1" applyBorder="1"/>
    <xf numFmtId="0" fontId="11" fillId="0" borderId="0" xfId="0" applyFont="1" applyFill="1"/>
    <xf numFmtId="0" fontId="6" fillId="0" borderId="0" xfId="0" applyFont="1" applyFill="1"/>
    <xf numFmtId="2" fontId="6" fillId="0" borderId="0" xfId="0" applyNumberFormat="1" applyFont="1" applyFill="1"/>
    <xf numFmtId="0" fontId="11" fillId="0" borderId="0" xfId="0" applyFont="1"/>
    <xf numFmtId="2" fontId="15" fillId="7" borderId="0" xfId="0" applyNumberFormat="1" applyFont="1" applyFill="1"/>
    <xf numFmtId="0" fontId="0" fillId="8" borderId="0" xfId="0" applyFill="1"/>
    <xf numFmtId="0" fontId="16" fillId="0" borderId="0" xfId="0" applyFont="1"/>
    <xf numFmtId="0" fontId="17" fillId="0" borderId="0" xfId="0" applyFont="1"/>
    <xf numFmtId="0" fontId="18" fillId="0" borderId="0" xfId="1" applyAlignment="1" applyProtection="1"/>
    <xf numFmtId="0" fontId="1" fillId="0" borderId="0" xfId="0" applyFont="1" applyAlignment="1">
      <alignment horizontal="center"/>
    </xf>
    <xf numFmtId="0" fontId="19" fillId="6" borderId="0" xfId="0" applyFont="1" applyFill="1"/>
    <xf numFmtId="0" fontId="0" fillId="9" borderId="0" xfId="0" applyFill="1"/>
    <xf numFmtId="0" fontId="4" fillId="9" borderId="0" xfId="0" applyFont="1" applyFill="1"/>
    <xf numFmtId="0" fontId="11" fillId="9" borderId="0" xfId="0" applyFont="1" applyFill="1"/>
    <xf numFmtId="0" fontId="5" fillId="9" borderId="0" xfId="0" applyFont="1" applyFill="1"/>
    <xf numFmtId="0" fontId="5" fillId="3" borderId="0" xfId="0" applyFont="1" applyFill="1"/>
    <xf numFmtId="0" fontId="21" fillId="2" borderId="0" xfId="0" applyFont="1" applyFill="1"/>
    <xf numFmtId="0" fontId="22" fillId="2" borderId="0" xfId="0" applyFont="1" applyFill="1" applyBorder="1"/>
    <xf numFmtId="0" fontId="0" fillId="2" borderId="0" xfId="0" applyFill="1" applyBorder="1"/>
    <xf numFmtId="0" fontId="23" fillId="2" borderId="0" xfId="0" applyFont="1" applyFill="1" applyBorder="1"/>
    <xf numFmtId="0" fontId="0" fillId="10" borderId="0" xfId="0" applyFill="1"/>
    <xf numFmtId="2" fontId="0" fillId="10" borderId="0" xfId="0" applyNumberFormat="1" applyFill="1"/>
    <xf numFmtId="0" fontId="24" fillId="0" borderId="0" xfId="0" applyFont="1"/>
    <xf numFmtId="0" fontId="24" fillId="0" borderId="0" xfId="0" applyFont="1" applyFill="1"/>
    <xf numFmtId="0" fontId="22" fillId="11" borderId="0" xfId="0" applyFont="1" applyFill="1"/>
    <xf numFmtId="0" fontId="9" fillId="11" borderId="0" xfId="0" applyFont="1" applyFill="1"/>
    <xf numFmtId="0" fontId="11" fillId="7" borderId="0" xfId="0" applyNumberFormat="1" applyFont="1" applyFill="1"/>
    <xf numFmtId="0" fontId="9" fillId="0" borderId="0" xfId="0" applyFont="1"/>
    <xf numFmtId="0" fontId="25" fillId="11" borderId="0" xfId="0" applyFont="1" applyFill="1" applyAlignment="1">
      <alignment horizontal="right"/>
    </xf>
    <xf numFmtId="0" fontId="9" fillId="11" borderId="0" xfId="0" applyFont="1" applyFill="1" applyAlignment="1">
      <alignment horizontal="right"/>
    </xf>
    <xf numFmtId="0" fontId="22" fillId="11" borderId="0" xfId="0" applyFont="1" applyFill="1" applyAlignment="1">
      <alignment horizontal="left"/>
    </xf>
    <xf numFmtId="0" fontId="26" fillId="0" borderId="0" xfId="0" applyFont="1"/>
    <xf numFmtId="0" fontId="22" fillId="2" borderId="0" xfId="0" applyFont="1" applyFill="1"/>
    <xf numFmtId="165" fontId="3" fillId="0" borderId="0" xfId="0" applyNumberFormat="1" applyFont="1" applyFill="1" applyBorder="1" applyProtection="1">
      <protection locked="0"/>
    </xf>
    <xf numFmtId="2" fontId="0" fillId="12" borderId="0" xfId="0" applyNumberFormat="1" applyFill="1"/>
    <xf numFmtId="0" fontId="0" fillId="0" borderId="0" xfId="0" applyBorder="1"/>
    <xf numFmtId="165" fontId="3" fillId="0" borderId="2" xfId="0" applyNumberFormat="1" applyFont="1" applyFill="1" applyBorder="1" applyProtection="1">
      <protection locked="0"/>
    </xf>
    <xf numFmtId="0" fontId="0" fillId="0" borderId="3" xfId="0" applyFont="1" applyBorder="1"/>
    <xf numFmtId="0" fontId="0" fillId="0" borderId="0" xfId="0" applyFont="1" applyFill="1"/>
    <xf numFmtId="165" fontId="3" fillId="8" borderId="0" xfId="0" applyNumberFormat="1" applyFont="1" applyFill="1" applyBorder="1" applyProtection="1">
      <protection locked="0"/>
    </xf>
    <xf numFmtId="2" fontId="27" fillId="0" borderId="0" xfId="0" applyNumberFormat="1" applyFont="1" applyFill="1" applyBorder="1"/>
    <xf numFmtId="0" fontId="9" fillId="2" borderId="0" xfId="0" applyFont="1" applyFill="1"/>
    <xf numFmtId="165" fontId="0" fillId="0" borderId="0" xfId="0" applyNumberFormat="1" applyFont="1" applyFill="1"/>
    <xf numFmtId="2" fontId="0" fillId="0" borderId="0" xfId="0" applyNumberFormat="1" applyFont="1" applyFill="1" applyBorder="1"/>
    <xf numFmtId="0" fontId="1" fillId="0" borderId="0" xfId="0" applyFont="1" applyFill="1"/>
    <xf numFmtId="0" fontId="0" fillId="0" borderId="0" xfId="0" applyFont="1"/>
    <xf numFmtId="0" fontId="9" fillId="0" borderId="0" xfId="0" applyFont="1" applyFill="1"/>
    <xf numFmtId="0" fontId="28" fillId="12" borderId="0" xfId="0" applyFont="1" applyFill="1"/>
    <xf numFmtId="0" fontId="0" fillId="5" borderId="0" xfId="0" applyFill="1"/>
    <xf numFmtId="0" fontId="11" fillId="8" borderId="0" xfId="0" applyFont="1" applyFill="1"/>
    <xf numFmtId="0" fontId="22" fillId="0" borderId="0" xfId="0" applyFont="1"/>
    <xf numFmtId="0" fontId="29" fillId="13" borderId="0" xfId="0" applyFont="1" applyFill="1" applyProtection="1">
      <protection locked="0"/>
    </xf>
    <xf numFmtId="0" fontId="30" fillId="13" borderId="0" xfId="0" applyFont="1" applyFill="1"/>
    <xf numFmtId="0" fontId="0" fillId="0" borderId="0" xfId="0" applyProtection="1">
      <protection locked="0"/>
    </xf>
    <xf numFmtId="0" fontId="15" fillId="0" borderId="0" xfId="0" applyFont="1"/>
    <xf numFmtId="0" fontId="31" fillId="0" borderId="0" xfId="0" applyFont="1"/>
    <xf numFmtId="165" fontId="3" fillId="0" borderId="0" xfId="0" applyNumberFormat="1" applyFont="1" applyProtection="1">
      <protection locked="0"/>
    </xf>
    <xf numFmtId="1" fontId="27" fillId="0" borderId="0" xfId="0" applyNumberFormat="1" applyFont="1"/>
    <xf numFmtId="0" fontId="1" fillId="0" borderId="0" xfId="0" applyFont="1" applyProtection="1">
      <protection locked="0"/>
    </xf>
    <xf numFmtId="0" fontId="15" fillId="0" borderId="4" xfId="0" applyFont="1" applyBorder="1"/>
    <xf numFmtId="0" fontId="0" fillId="0" borderId="4" xfId="0" applyBorder="1"/>
    <xf numFmtId="1" fontId="1" fillId="14" borderId="4" xfId="0" applyNumberFormat="1" applyFont="1" applyFill="1" applyBorder="1"/>
    <xf numFmtId="0" fontId="1" fillId="14" borderId="4" xfId="0" applyFont="1" applyFill="1" applyBorder="1"/>
    <xf numFmtId="0" fontId="22" fillId="0" borderId="0" xfId="0" applyFont="1" applyFill="1" applyAlignment="1">
      <alignment wrapText="1"/>
    </xf>
    <xf numFmtId="0" fontId="0" fillId="0" borderId="0" xfId="0" applyFill="1" applyAlignment="1"/>
    <xf numFmtId="0" fontId="14" fillId="0" borderId="0" xfId="0" applyFont="1" applyFill="1" applyAlignment="1">
      <alignment horizontal="left" vertical="top" wrapText="1"/>
    </xf>
    <xf numFmtId="0" fontId="0" fillId="0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5" xfId="0" applyBorder="1"/>
    <xf numFmtId="0" fontId="22" fillId="0" borderId="0" xfId="0" applyFont="1" applyBorder="1"/>
    <xf numFmtId="0" fontId="14" fillId="0" borderId="0" xfId="0" applyFont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35" fillId="0" borderId="0" xfId="0" applyFont="1"/>
    <xf numFmtId="0" fontId="22" fillId="0" borderId="4" xfId="0" applyFont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4" fillId="0" borderId="4" xfId="0" applyFont="1" applyBorder="1" applyAlignment="1">
      <alignment vertical="top" wrapText="1"/>
    </xf>
    <xf numFmtId="0" fontId="0" fillId="0" borderId="4" xfId="0" applyBorder="1" applyAlignment="1">
      <alignment vertical="top"/>
    </xf>
    <xf numFmtId="0" fontId="22" fillId="0" borderId="0" xfId="0" applyFont="1" applyAlignment="1">
      <alignment vertical="top" wrapText="1"/>
    </xf>
    <xf numFmtId="1" fontId="0" fillId="0" borderId="0" xfId="0" applyNumberFormat="1"/>
    <xf numFmtId="0" fontId="14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7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11" fillId="15" borderId="0" xfId="0" applyFont="1" applyFill="1" applyAlignment="1" applyProtection="1">
      <alignment vertical="top" wrapText="1"/>
      <protection locked="0"/>
    </xf>
    <xf numFmtId="0" fontId="11" fillId="0" borderId="0" xfId="0" applyFont="1" applyAlignment="1" applyProtection="1">
      <alignment vertical="top" wrapText="1"/>
      <protection locked="0"/>
    </xf>
    <xf numFmtId="0" fontId="11" fillId="0" borderId="0" xfId="0" applyFont="1" applyAlignment="1">
      <alignment vertical="top" wrapText="1"/>
    </xf>
    <xf numFmtId="0" fontId="22" fillId="8" borderId="0" xfId="0" applyFont="1" applyFill="1" applyAlignment="1">
      <alignment vertical="top" wrapText="1"/>
    </xf>
    <xf numFmtId="0" fontId="11" fillId="0" borderId="0" xfId="0" applyFont="1" applyProtection="1">
      <protection locked="0"/>
    </xf>
    <xf numFmtId="0" fontId="0" fillId="0" borderId="6" xfId="0" applyBorder="1" applyAlignment="1">
      <alignment vertical="top" wrapText="1"/>
    </xf>
    <xf numFmtId="165" fontId="3" fillId="15" borderId="4" xfId="0" applyNumberFormat="1" applyFont="1" applyFill="1" applyBorder="1" applyProtection="1">
      <protection locked="0"/>
    </xf>
    <xf numFmtId="0" fontId="11" fillId="0" borderId="6" xfId="0" applyFont="1" applyFill="1" applyBorder="1"/>
    <xf numFmtId="0" fontId="22" fillId="0" borderId="8" xfId="0" applyFont="1" applyBorder="1"/>
    <xf numFmtId="0" fontId="0" fillId="0" borderId="8" xfId="0" applyBorder="1"/>
    <xf numFmtId="0" fontId="22" fillId="8" borderId="0" xfId="0" applyFont="1" applyFill="1" applyBorder="1"/>
    <xf numFmtId="0" fontId="0" fillId="8" borderId="0" xfId="0" applyFill="1" applyBorder="1"/>
    <xf numFmtId="0" fontId="37" fillId="0" borderId="0" xfId="0" applyFont="1" applyBorder="1" applyAlignment="1">
      <alignment horizontal="left" vertical="top" wrapText="1"/>
    </xf>
    <xf numFmtId="1" fontId="0" fillId="0" borderId="0" xfId="0" applyNumberFormat="1" applyBorder="1"/>
    <xf numFmtId="0" fontId="38" fillId="0" borderId="0" xfId="0" applyFont="1" applyBorder="1"/>
    <xf numFmtId="0" fontId="38" fillId="0" borderId="0" xfId="0" applyFont="1" applyBorder="1" applyProtection="1">
      <protection locked="0"/>
    </xf>
    <xf numFmtId="0" fontId="22" fillId="0" borderId="0" xfId="0" applyFont="1" applyBorder="1" applyAlignment="1">
      <alignment vertical="top" wrapText="1"/>
    </xf>
    <xf numFmtId="1" fontId="38" fillId="0" borderId="0" xfId="0" applyNumberFormat="1" applyFont="1" applyBorder="1"/>
    <xf numFmtId="1" fontId="38" fillId="0" borderId="4" xfId="0" applyNumberFormat="1" applyFont="1" applyBorder="1"/>
    <xf numFmtId="0" fontId="38" fillId="0" borderId="4" xfId="0" applyFont="1" applyBorder="1"/>
    <xf numFmtId="1" fontId="1" fillId="15" borderId="4" xfId="0" applyNumberFormat="1" applyFont="1" applyFill="1" applyBorder="1"/>
    <xf numFmtId="0" fontId="1" fillId="15" borderId="4" xfId="0" applyFont="1" applyFill="1" applyBorder="1"/>
    <xf numFmtId="1" fontId="38" fillId="0" borderId="0" xfId="0" applyNumberFormat="1" applyFont="1"/>
    <xf numFmtId="0" fontId="38" fillId="0" borderId="0" xfId="0" applyFont="1"/>
    <xf numFmtId="1" fontId="38" fillId="0" borderId="0" xfId="0" applyNumberFormat="1" applyFont="1" applyProtection="1">
      <protection locked="0"/>
    </xf>
    <xf numFmtId="0" fontId="22" fillId="0" borderId="0" xfId="0" applyFont="1" applyFill="1" applyBorder="1" applyAlignment="1">
      <alignment vertical="top" wrapText="1"/>
    </xf>
    <xf numFmtId="0" fontId="22" fillId="0" borderId="4" xfId="0" applyFont="1" applyFill="1" applyBorder="1" applyAlignment="1">
      <alignment vertical="top" wrapText="1"/>
    </xf>
    <xf numFmtId="0" fontId="0" fillId="0" borderId="6" xfId="0" applyBorder="1" applyAlignment="1">
      <alignment vertical="top"/>
    </xf>
    <xf numFmtId="0" fontId="38" fillId="0" borderId="9" xfId="0" applyFont="1" applyBorder="1"/>
    <xf numFmtId="0" fontId="0" fillId="0" borderId="9" xfId="0" applyBorder="1"/>
    <xf numFmtId="0" fontId="7" fillId="0" borderId="0" xfId="0" applyFont="1" applyFill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2" fillId="0" borderId="7" xfId="0" applyFont="1" applyBorder="1"/>
    <xf numFmtId="0" fontId="0" fillId="0" borderId="7" xfId="0" applyBorder="1"/>
    <xf numFmtId="165" fontId="3" fillId="0" borderId="7" xfId="0" applyNumberFormat="1" applyFont="1" applyBorder="1" applyProtection="1">
      <protection locked="0"/>
    </xf>
    <xf numFmtId="1" fontId="0" fillId="0" borderId="7" xfId="0" applyNumberFormat="1" applyBorder="1"/>
    <xf numFmtId="0" fontId="2" fillId="0" borderId="0" xfId="0" applyFont="1" applyBorder="1"/>
    <xf numFmtId="0" fontId="37" fillId="0" borderId="0" xfId="0" applyFont="1" applyBorder="1" applyAlignment="1">
      <alignment vertical="top" wrapText="1"/>
    </xf>
    <xf numFmtId="0" fontId="38" fillId="0" borderId="0" xfId="0" applyFont="1" applyBorder="1" applyAlignment="1">
      <alignment vertical="top"/>
    </xf>
    <xf numFmtId="0" fontId="38" fillId="0" borderId="0" xfId="0" applyFont="1" applyBorder="1" applyAlignment="1" applyProtection="1">
      <alignment vertical="top"/>
      <protection locked="0"/>
    </xf>
    <xf numFmtId="0" fontId="2" fillId="0" borderId="10" xfId="0" applyFont="1" applyBorder="1"/>
    <xf numFmtId="0" fontId="0" fillId="0" borderId="10" xfId="0" applyBorder="1"/>
    <xf numFmtId="1" fontId="0" fillId="0" borderId="10" xfId="0" applyNumberFormat="1" applyBorder="1"/>
    <xf numFmtId="0" fontId="37" fillId="0" borderId="10" xfId="0" applyFont="1" applyBorder="1" applyAlignment="1">
      <alignment vertical="top" wrapText="1"/>
    </xf>
    <xf numFmtId="0" fontId="38" fillId="0" borderId="10" xfId="0" applyFont="1" applyBorder="1" applyAlignment="1">
      <alignment vertical="top"/>
    </xf>
    <xf numFmtId="0" fontId="39" fillId="0" borderId="0" xfId="0" applyFont="1"/>
    <xf numFmtId="1" fontId="39" fillId="0" borderId="0" xfId="0" applyNumberFormat="1" applyFont="1"/>
    <xf numFmtId="0" fontId="7" fillId="0" borderId="0" xfId="0" applyFont="1" applyFill="1"/>
    <xf numFmtId="1" fontId="7" fillId="0" borderId="0" xfId="0" applyNumberFormat="1" applyFont="1" applyFill="1"/>
    <xf numFmtId="49" fontId="40" fillId="0" borderId="0" xfId="0" applyNumberFormat="1" applyFont="1" applyFill="1"/>
    <xf numFmtId="1" fontId="40" fillId="0" borderId="0" xfId="0" applyNumberFormat="1" applyFont="1" applyFill="1"/>
    <xf numFmtId="0" fontId="40" fillId="0" borderId="0" xfId="0" applyFont="1" applyFill="1"/>
    <xf numFmtId="0" fontId="0" fillId="16" borderId="0" xfId="0" applyFill="1"/>
    <xf numFmtId="49" fontId="33" fillId="0" borderId="0" xfId="0" applyNumberFormat="1" applyFont="1" applyFill="1"/>
    <xf numFmtId="1" fontId="33" fillId="0" borderId="0" xfId="0" applyNumberFormat="1" applyFont="1" applyFill="1"/>
    <xf numFmtId="0" fontId="33" fillId="0" borderId="0" xfId="0" applyFont="1" applyFill="1"/>
    <xf numFmtId="0" fontId="2" fillId="0" borderId="0" xfId="0" applyFont="1" applyFill="1"/>
    <xf numFmtId="49" fontId="39" fillId="0" borderId="0" xfId="0" applyNumberFormat="1" applyFont="1" applyFill="1"/>
    <xf numFmtId="49" fontId="7" fillId="0" borderId="0" xfId="0" applyNumberFormat="1" applyFont="1" applyFill="1"/>
    <xf numFmtId="0" fontId="39" fillId="0" borderId="0" xfId="0" applyFont="1" applyFill="1"/>
    <xf numFmtId="0" fontId="15" fillId="0" borderId="0" xfId="0" applyFont="1" applyFill="1"/>
    <xf numFmtId="1" fontId="0" fillId="0" borderId="0" xfId="0" applyNumberFormat="1" applyFill="1"/>
    <xf numFmtId="1" fontId="15" fillId="0" borderId="0" xfId="0" applyNumberFormat="1" applyFont="1" applyFill="1"/>
    <xf numFmtId="0" fontId="22" fillId="0" borderId="0" xfId="0" applyFont="1" applyFill="1"/>
    <xf numFmtId="0" fontId="1" fillId="0" borderId="0" xfId="0" applyFont="1" applyFill="1" applyAlignment="1" applyProtection="1">
      <alignment wrapText="1"/>
      <protection locked="0"/>
    </xf>
    <xf numFmtId="1" fontId="1" fillId="0" borderId="0" xfId="0" applyNumberFormat="1" applyFont="1" applyFill="1" applyBorder="1" applyProtection="1">
      <protection locked="0"/>
    </xf>
    <xf numFmtId="0" fontId="1" fillId="0" borderId="0" xfId="0" applyFont="1" applyFill="1" applyBorder="1" applyProtection="1">
      <protection locked="0"/>
    </xf>
    <xf numFmtId="0" fontId="1" fillId="0" borderId="0" xfId="0" applyFont="1" applyFill="1" applyProtection="1">
      <protection locked="0"/>
    </xf>
    <xf numFmtId="1" fontId="1" fillId="0" borderId="0" xfId="0" applyNumberFormat="1" applyFont="1" applyProtection="1">
      <protection locked="0"/>
    </xf>
    <xf numFmtId="1" fontId="1" fillId="0" borderId="5" xfId="0" applyNumberFormat="1" applyFont="1" applyBorder="1" applyProtection="1">
      <protection locked="0"/>
    </xf>
    <xf numFmtId="0" fontId="1" fillId="0" borderId="0" xfId="0" applyFont="1" applyBorder="1"/>
    <xf numFmtId="0" fontId="1" fillId="15" borderId="0" xfId="0" applyFont="1" applyFill="1" applyBorder="1"/>
    <xf numFmtId="1" fontId="1" fillId="0" borderId="0" xfId="0" applyNumberFormat="1" applyFont="1" applyBorder="1"/>
    <xf numFmtId="0" fontId="1" fillId="0" borderId="4" xfId="0" applyFont="1" applyBorder="1" applyAlignment="1" applyProtection="1">
      <alignment vertical="top" wrapText="1"/>
      <protection locked="0"/>
    </xf>
    <xf numFmtId="0" fontId="1" fillId="0" borderId="4" xfId="0" applyFont="1" applyBorder="1" applyProtection="1">
      <protection locked="0"/>
    </xf>
    <xf numFmtId="165" fontId="1" fillId="15" borderId="0" xfId="0" applyNumberFormat="1" applyFont="1" applyFill="1" applyProtection="1">
      <protection locked="0"/>
    </xf>
    <xf numFmtId="0" fontId="1" fillId="0" borderId="4" xfId="0" applyFont="1" applyFill="1" applyBorder="1" applyProtection="1"/>
    <xf numFmtId="49" fontId="40" fillId="17" borderId="0" xfId="0" applyNumberFormat="1" applyFont="1" applyFill="1"/>
    <xf numFmtId="0" fontId="40" fillId="17" borderId="0" xfId="0" applyFont="1" applyFill="1"/>
    <xf numFmtId="0" fontId="0" fillId="17" borderId="0" xfId="0" applyFill="1"/>
    <xf numFmtId="49" fontId="40" fillId="18" borderId="0" xfId="0" applyNumberFormat="1" applyFont="1" applyFill="1"/>
    <xf numFmtId="0" fontId="40" fillId="18" borderId="0" xfId="0" applyFont="1" applyFill="1"/>
    <xf numFmtId="0" fontId="0" fillId="18" borderId="0" xfId="0" applyFill="1"/>
    <xf numFmtId="49" fontId="40" fillId="19" borderId="0" xfId="0" applyNumberFormat="1" applyFont="1" applyFill="1"/>
    <xf numFmtId="0" fontId="40" fillId="19" borderId="0" xfId="0" applyFont="1" applyFill="1"/>
    <xf numFmtId="0" fontId="0" fillId="19" borderId="0" xfId="0" applyFill="1"/>
    <xf numFmtId="49" fontId="40" fillId="20" borderId="0" xfId="0" applyNumberFormat="1" applyFont="1" applyFill="1"/>
    <xf numFmtId="0" fontId="40" fillId="20" borderId="0" xfId="0" applyFont="1" applyFill="1"/>
    <xf numFmtId="0" fontId="0" fillId="20" borderId="0" xfId="0" applyFill="1"/>
    <xf numFmtId="49" fontId="40" fillId="8" borderId="0" xfId="0" applyNumberFormat="1" applyFont="1" applyFill="1"/>
    <xf numFmtId="0" fontId="40" fillId="8" borderId="0" xfId="0" applyFont="1" applyFill="1"/>
    <xf numFmtId="49" fontId="40" fillId="9" borderId="0" xfId="0" applyNumberFormat="1" applyFont="1" applyFill="1"/>
    <xf numFmtId="0" fontId="40" fillId="9" borderId="0" xfId="0" applyFont="1" applyFill="1"/>
    <xf numFmtId="49" fontId="40" fillId="21" borderId="0" xfId="0" applyNumberFormat="1" applyFont="1" applyFill="1"/>
    <xf numFmtId="0" fontId="40" fillId="21" borderId="0" xfId="0" applyFont="1" applyFill="1"/>
    <xf numFmtId="0" fontId="0" fillId="21" borderId="0" xfId="0" applyFill="1"/>
    <xf numFmtId="49" fontId="40" fillId="22" borderId="0" xfId="0" applyNumberFormat="1" applyFont="1" applyFill="1"/>
    <xf numFmtId="0" fontId="40" fillId="22" borderId="0" xfId="0" applyFont="1" applyFill="1"/>
    <xf numFmtId="0" fontId="0" fillId="22" borderId="0" xfId="0" applyFill="1"/>
    <xf numFmtId="49" fontId="40" fillId="23" borderId="0" xfId="0" applyNumberFormat="1" applyFont="1" applyFill="1"/>
    <xf numFmtId="0" fontId="40" fillId="23" borderId="0" xfId="0" applyFont="1" applyFill="1"/>
    <xf numFmtId="0" fontId="0" fillId="23" borderId="0" xfId="0" applyFill="1"/>
    <xf numFmtId="0" fontId="1" fillId="0" borderId="11" xfId="2" applyNumberFormat="1" applyFont="1" applyFill="1" applyBorder="1" applyAlignment="1">
      <alignment vertical="top" wrapText="1"/>
    </xf>
    <xf numFmtId="0" fontId="1" fillId="0" borderId="0" xfId="2" applyNumberFormat="1" applyFont="1" applyFill="1" applyAlignment="1">
      <alignment vertical="top" wrapText="1"/>
    </xf>
    <xf numFmtId="0" fontId="1" fillId="0" borderId="12" xfId="2" applyNumberFormat="1" applyFont="1" applyFill="1" applyBorder="1" applyAlignment="1">
      <alignment vertical="top" wrapText="1"/>
    </xf>
    <xf numFmtId="0" fontId="1" fillId="0" borderId="0" xfId="2" applyNumberFormat="1" applyFont="1" applyFill="1" applyBorder="1" applyAlignment="1">
      <alignment vertical="top" wrapText="1"/>
    </xf>
    <xf numFmtId="0" fontId="20" fillId="0" borderId="11" xfId="2" applyNumberFormat="1" applyFill="1" applyBorder="1"/>
    <xf numFmtId="0" fontId="40" fillId="0" borderId="0" xfId="0" applyNumberFormat="1" applyFont="1" applyFill="1"/>
    <xf numFmtId="0" fontId="40" fillId="0" borderId="12" xfId="0" applyNumberFormat="1" applyFont="1" applyFill="1" applyBorder="1"/>
    <xf numFmtId="165" fontId="40" fillId="0" borderId="12" xfId="0" applyNumberFormat="1" applyFont="1" applyFill="1" applyBorder="1"/>
    <xf numFmtId="1" fontId="7" fillId="15" borderId="0" xfId="0" applyNumberFormat="1" applyFont="1" applyFill="1"/>
    <xf numFmtId="1" fontId="33" fillId="0" borderId="0" xfId="0" applyNumberFormat="1" applyFont="1" applyFill="1" applyAlignment="1">
      <alignment horizontal="right"/>
    </xf>
    <xf numFmtId="165" fontId="33" fillId="0" borderId="12" xfId="0" applyNumberFormat="1" applyFont="1" applyFill="1" applyBorder="1"/>
    <xf numFmtId="165" fontId="7" fillId="15" borderId="12" xfId="0" applyNumberFormat="1" applyFont="1" applyFill="1" applyBorder="1"/>
    <xf numFmtId="0" fontId="41" fillId="8" borderId="0" xfId="0" applyFont="1" applyFill="1"/>
    <xf numFmtId="49" fontId="7" fillId="15" borderId="0" xfId="0" applyNumberFormat="1" applyFont="1" applyFill="1"/>
    <xf numFmtId="165" fontId="7" fillId="15" borderId="0" xfId="0" applyNumberFormat="1" applyFont="1" applyFill="1"/>
    <xf numFmtId="165" fontId="42" fillId="8" borderId="0" xfId="0" applyNumberFormat="1" applyFont="1" applyFill="1"/>
    <xf numFmtId="0" fontId="42" fillId="8" borderId="0" xfId="0" applyFont="1" applyFill="1"/>
    <xf numFmtId="49" fontId="43" fillId="15" borderId="0" xfId="0" applyNumberFormat="1" applyFont="1" applyFill="1"/>
    <xf numFmtId="1" fontId="43" fillId="15" borderId="0" xfId="0" applyNumberFormat="1" applyFont="1" applyFill="1"/>
    <xf numFmtId="165" fontId="1" fillId="0" borderId="0" xfId="0" applyNumberFormat="1" applyFont="1" applyFill="1"/>
    <xf numFmtId="0" fontId="44" fillId="0" borderId="0" xfId="0" applyFont="1" applyFill="1"/>
    <xf numFmtId="0" fontId="45" fillId="0" borderId="0" xfId="0" applyFont="1"/>
    <xf numFmtId="0" fontId="44" fillId="0" borderId="0" xfId="0" applyFont="1"/>
    <xf numFmtId="165" fontId="45" fillId="0" borderId="0" xfId="0" applyNumberFormat="1" applyFont="1"/>
    <xf numFmtId="1" fontId="45" fillId="0" borderId="0" xfId="0" applyNumberFormat="1" applyFont="1"/>
    <xf numFmtId="0" fontId="32" fillId="15" borderId="0" xfId="0" applyFont="1" applyFill="1"/>
    <xf numFmtId="1" fontId="32" fillId="15" borderId="0" xfId="0" applyNumberFormat="1" applyFont="1" applyFill="1"/>
    <xf numFmtId="165" fontId="43" fillId="15" borderId="0" xfId="0" applyNumberFormat="1" applyFont="1" applyFill="1" applyBorder="1"/>
    <xf numFmtId="0" fontId="43" fillId="15" borderId="0" xfId="0" applyFont="1" applyFill="1" applyBorder="1"/>
    <xf numFmtId="0" fontId="0" fillId="0" borderId="0" xfId="0" applyFont="1" applyFill="1" applyAlignment="1" applyProtection="1">
      <alignment wrapText="1"/>
      <protection locked="0"/>
    </xf>
    <xf numFmtId="0" fontId="0" fillId="15" borderId="0" xfId="0" applyFont="1" applyFill="1" applyProtection="1">
      <protection locked="0"/>
    </xf>
    <xf numFmtId="1" fontId="0" fillId="0" borderId="0" xfId="0" applyNumberFormat="1" applyFont="1" applyFill="1" applyBorder="1" applyProtection="1">
      <protection locked="0"/>
    </xf>
    <xf numFmtId="0" fontId="0" fillId="0" borderId="0" xfId="0" applyFont="1" applyFill="1" applyBorder="1" applyProtection="1">
      <protection locked="0"/>
    </xf>
    <xf numFmtId="0" fontId="0" fillId="0" borderId="0" xfId="0" applyFont="1" applyProtection="1">
      <protection locked="0"/>
    </xf>
    <xf numFmtId="1" fontId="0" fillId="15" borderId="0" xfId="0" applyNumberFormat="1" applyFont="1" applyFill="1" applyProtection="1">
      <protection locked="0"/>
    </xf>
    <xf numFmtId="165" fontId="0" fillId="0" borderId="0" xfId="0" applyNumberFormat="1" applyFont="1" applyProtection="1">
      <protection locked="0"/>
    </xf>
    <xf numFmtId="0" fontId="0" fillId="0" borderId="5" xfId="0" applyFont="1" applyBorder="1" applyProtection="1">
      <protection locked="0"/>
    </xf>
    <xf numFmtId="1" fontId="0" fillId="15" borderId="5" xfId="0" applyNumberFormat="1" applyFont="1" applyFill="1" applyBorder="1" applyProtection="1">
      <protection locked="0"/>
    </xf>
    <xf numFmtId="1" fontId="0" fillId="0" borderId="0" xfId="0" applyNumberFormat="1" applyFont="1" applyAlignment="1" applyProtection="1">
      <alignment wrapText="1"/>
      <protection locked="0"/>
    </xf>
    <xf numFmtId="1" fontId="0" fillId="15" borderId="0" xfId="0" applyNumberFormat="1" applyFont="1" applyFill="1" applyAlignment="1" applyProtection="1">
      <protection locked="0"/>
    </xf>
    <xf numFmtId="165" fontId="0" fillId="0" borderId="0" xfId="0" applyNumberFormat="1" applyFont="1" applyAlignment="1" applyProtection="1">
      <protection locked="0"/>
    </xf>
    <xf numFmtId="1" fontId="1" fillId="14" borderId="0" xfId="0" applyNumberFormat="1" applyFont="1" applyFill="1"/>
    <xf numFmtId="0" fontId="11" fillId="15" borderId="0" xfId="0" applyFont="1" applyFill="1" applyProtection="1">
      <protection locked="0"/>
    </xf>
    <xf numFmtId="165" fontId="11" fillId="0" borderId="0" xfId="0" applyNumberFormat="1" applyFont="1" applyProtection="1">
      <protection locked="0"/>
    </xf>
    <xf numFmtId="1" fontId="9" fillId="0" borderId="0" xfId="0" applyNumberFormat="1" applyFont="1" applyFill="1" applyProtection="1">
      <protection locked="0"/>
    </xf>
    <xf numFmtId="1" fontId="11" fillId="14" borderId="4" xfId="0" applyNumberFormat="1" applyFont="1" applyFill="1" applyBorder="1"/>
    <xf numFmtId="0" fontId="11" fillId="14" borderId="4" xfId="0" applyFont="1" applyFill="1" applyBorder="1"/>
    <xf numFmtId="165" fontId="11" fillId="15" borderId="4" xfId="0" applyNumberFormat="1" applyFont="1" applyFill="1" applyBorder="1" applyProtection="1">
      <protection locked="0"/>
    </xf>
    <xf numFmtId="0" fontId="11" fillId="0" borderId="9" xfId="0" applyFont="1" applyFill="1" applyBorder="1" applyProtection="1">
      <protection locked="0"/>
    </xf>
    <xf numFmtId="0" fontId="11" fillId="0" borderId="7" xfId="0" applyFont="1" applyBorder="1"/>
    <xf numFmtId="1" fontId="38" fillId="0" borderId="9" xfId="0" applyNumberFormat="1" applyFont="1" applyFill="1" applyBorder="1" applyProtection="1">
      <protection locked="0"/>
    </xf>
    <xf numFmtId="0" fontId="0" fillId="0" borderId="9" xfId="0" applyFill="1" applyBorder="1" applyProtection="1"/>
    <xf numFmtId="165" fontId="45" fillId="0" borderId="4" xfId="0" applyNumberFormat="1" applyFont="1" applyFill="1" applyBorder="1" applyProtection="1">
      <protection locked="0"/>
    </xf>
    <xf numFmtId="2" fontId="11" fillId="7" borderId="0" xfId="0" applyNumberFormat="1" applyFont="1" applyFill="1"/>
    <xf numFmtId="0" fontId="9" fillId="0" borderId="0" xfId="0" applyFont="1" applyAlignment="1">
      <alignment vertical="top" wrapText="1"/>
    </xf>
    <xf numFmtId="0" fontId="46" fillId="0" borderId="0" xfId="0" applyFont="1"/>
    <xf numFmtId="49" fontId="40" fillId="0" borderId="0" xfId="0" applyNumberFormat="1" applyFont="1"/>
    <xf numFmtId="0" fontId="40" fillId="0" borderId="0" xfId="0" applyFont="1"/>
    <xf numFmtId="49" fontId="33" fillId="0" borderId="0" xfId="0" applyNumberFormat="1" applyFont="1"/>
    <xf numFmtId="0" fontId="1" fillId="0" borderId="0" xfId="0" quotePrefix="1" applyFont="1"/>
    <xf numFmtId="49" fontId="46" fillId="0" borderId="0" xfId="0" applyNumberFormat="1" applyFont="1"/>
    <xf numFmtId="164" fontId="0" fillId="0" borderId="0" xfId="0" applyNumberFormat="1" applyFill="1"/>
    <xf numFmtId="0" fontId="22" fillId="0" borderId="0" xfId="0" applyFont="1" applyFill="1" applyBorder="1"/>
    <xf numFmtId="2" fontId="0" fillId="0" borderId="0" xfId="0" applyNumberFormat="1" applyFill="1"/>
    <xf numFmtId="0" fontId="23" fillId="0" borderId="0" xfId="0" applyFont="1" applyFill="1" applyBorder="1"/>
    <xf numFmtId="2" fontId="11" fillId="0" borderId="0" xfId="0" applyNumberFormat="1" applyFont="1" applyFill="1"/>
    <xf numFmtId="0" fontId="11" fillId="0" borderId="0" xfId="0" applyNumberFormat="1" applyFont="1" applyFill="1"/>
    <xf numFmtId="0" fontId="25" fillId="0" borderId="0" xfId="0" applyFont="1" applyFill="1" applyAlignment="1">
      <alignment horizontal="right"/>
    </xf>
    <xf numFmtId="0" fontId="9" fillId="0" borderId="0" xfId="0" applyFont="1" applyFill="1" applyAlignment="1">
      <alignment horizontal="right"/>
    </xf>
    <xf numFmtId="0" fontId="22" fillId="0" borderId="0" xfId="0" applyFont="1" applyFill="1" applyAlignment="1">
      <alignment horizontal="left"/>
    </xf>
    <xf numFmtId="0" fontId="21" fillId="0" borderId="0" xfId="0" applyFont="1" applyFill="1"/>
    <xf numFmtId="0" fontId="26" fillId="0" borderId="0" xfId="0" applyFont="1" applyFill="1"/>
    <xf numFmtId="0" fontId="0" fillId="0" borderId="3" xfId="0" applyFont="1" applyFill="1" applyBorder="1"/>
    <xf numFmtId="0" fontId="46" fillId="0" borderId="0" xfId="0" applyFont="1" applyFill="1"/>
    <xf numFmtId="0" fontId="28" fillId="0" borderId="0" xfId="0" applyFont="1" applyFill="1"/>
    <xf numFmtId="0" fontId="1" fillId="0" borderId="0" xfId="0" applyFont="1" applyFill="1" applyAlignment="1">
      <alignment horizontal="center"/>
    </xf>
    <xf numFmtId="0" fontId="18" fillId="0" borderId="0" xfId="1" applyFill="1" applyAlignment="1" applyProtection="1"/>
    <xf numFmtId="0" fontId="5" fillId="0" borderId="0" xfId="0" applyFont="1" applyFill="1"/>
    <xf numFmtId="2" fontId="15" fillId="0" borderId="0" xfId="0" applyNumberFormat="1" applyFont="1" applyFill="1"/>
    <xf numFmtId="0" fontId="3" fillId="0" borderId="0" xfId="0" applyFont="1" applyFill="1"/>
    <xf numFmtId="0" fontId="16" fillId="0" borderId="0" xfId="0" applyFont="1" applyFill="1"/>
    <xf numFmtId="0" fontId="47" fillId="0" borderId="0" xfId="0" applyFont="1" applyFill="1"/>
    <xf numFmtId="2" fontId="11" fillId="0" borderId="0" xfId="0" applyNumberFormat="1" applyFont="1"/>
    <xf numFmtId="0" fontId="48" fillId="24" borderId="0" xfId="0" applyFont="1" applyFill="1"/>
    <xf numFmtId="0" fontId="11" fillId="24" borderId="0" xfId="0" applyFont="1" applyFill="1"/>
    <xf numFmtId="0" fontId="1" fillId="24" borderId="0" xfId="0" applyFont="1" applyFill="1"/>
    <xf numFmtId="2" fontId="0" fillId="0" borderId="0" xfId="0" applyNumberFormat="1"/>
    <xf numFmtId="2" fontId="1" fillId="0" borderId="0" xfId="0" applyNumberFormat="1" applyFont="1"/>
    <xf numFmtId="0" fontId="49" fillId="0" borderId="0" xfId="0" applyFont="1"/>
    <xf numFmtId="0" fontId="11" fillId="6" borderId="0" xfId="0" applyFont="1" applyFill="1"/>
    <xf numFmtId="0" fontId="0" fillId="25" borderId="0" xfId="0" applyFill="1"/>
    <xf numFmtId="0" fontId="4" fillId="25" borderId="0" xfId="0" applyFont="1" applyFill="1"/>
    <xf numFmtId="0" fontId="11" fillId="25" borderId="0" xfId="0" applyFont="1" applyFill="1"/>
    <xf numFmtId="0" fontId="5" fillId="25" borderId="0" xfId="0" applyFont="1" applyFill="1"/>
    <xf numFmtId="0" fontId="49" fillId="25" borderId="0" xfId="0" applyFont="1" applyFill="1"/>
    <xf numFmtId="0" fontId="49" fillId="0" borderId="0" xfId="0" applyFont="1" applyFill="1"/>
    <xf numFmtId="0" fontId="0" fillId="26" borderId="0" xfId="0" applyFill="1"/>
    <xf numFmtId="0" fontId="4" fillId="26" borderId="0" xfId="0" applyFont="1" applyFill="1"/>
    <xf numFmtId="0" fontId="11" fillId="26" borderId="0" xfId="0" applyFont="1" applyFill="1"/>
    <xf numFmtId="0" fontId="5" fillId="26" borderId="0" xfId="0" applyFont="1" applyFill="1"/>
    <xf numFmtId="0" fontId="50" fillId="2" borderId="13" xfId="0" applyFont="1" applyFill="1" applyBorder="1"/>
    <xf numFmtId="0" fontId="50" fillId="0" borderId="13" xfId="0" applyFont="1" applyBorder="1"/>
    <xf numFmtId="0" fontId="50" fillId="25" borderId="13" xfId="0" applyFont="1" applyFill="1" applyBorder="1"/>
    <xf numFmtId="0" fontId="50" fillId="26" borderId="13" xfId="0" applyFont="1" applyFill="1" applyBorder="1"/>
    <xf numFmtId="0" fontId="0" fillId="2" borderId="14" xfId="0" applyFill="1" applyBorder="1"/>
    <xf numFmtId="0" fontId="0" fillId="0" borderId="14" xfId="0" applyBorder="1"/>
    <xf numFmtId="0" fontId="11" fillId="0" borderId="14" xfId="0" applyFont="1" applyBorder="1"/>
    <xf numFmtId="0" fontId="1" fillId="6" borderId="0" xfId="0" applyFont="1" applyFill="1"/>
    <xf numFmtId="0" fontId="4" fillId="0" borderId="0" xfId="0" applyFont="1" applyFill="1"/>
    <xf numFmtId="0" fontId="45" fillId="0" borderId="14" xfId="0" applyFont="1" applyBorder="1"/>
    <xf numFmtId="0" fontId="0" fillId="0" borderId="14" xfId="0" applyFill="1" applyBorder="1"/>
    <xf numFmtId="0" fontId="11" fillId="8" borderId="0" xfId="0" applyFont="1" applyFill="1" applyBorder="1"/>
    <xf numFmtId="0" fontId="11" fillId="8" borderId="10" xfId="0" applyFont="1" applyFill="1" applyBorder="1"/>
    <xf numFmtId="0" fontId="0" fillId="8" borderId="10" xfId="0" applyFill="1" applyBorder="1"/>
    <xf numFmtId="0" fontId="1" fillId="26" borderId="0" xfId="0" applyFont="1" applyFill="1"/>
    <xf numFmtId="0" fontId="50" fillId="2" borderId="0" xfId="0" applyFont="1" applyFill="1" applyBorder="1"/>
    <xf numFmtId="0" fontId="50" fillId="0" borderId="0" xfId="0" applyFont="1" applyBorder="1"/>
    <xf numFmtId="0" fontId="50" fillId="25" borderId="0" xfId="0" applyFont="1" applyFill="1" applyBorder="1"/>
    <xf numFmtId="0" fontId="50" fillId="26" borderId="0" xfId="0" applyFont="1" applyFill="1" applyBorder="1"/>
    <xf numFmtId="0" fontId="5" fillId="2" borderId="0" xfId="0" applyFont="1" applyFill="1" applyBorder="1"/>
    <xf numFmtId="0" fontId="5" fillId="0" borderId="0" xfId="0" applyFont="1" applyBorder="1"/>
    <xf numFmtId="0" fontId="49" fillId="25" borderId="0" xfId="0" applyFont="1" applyFill="1" applyBorder="1"/>
    <xf numFmtId="0" fontId="5" fillId="25" borderId="0" xfId="0" applyFont="1" applyFill="1" applyBorder="1"/>
    <xf numFmtId="0" fontId="5" fillId="26" borderId="0" xfId="0" applyFont="1" applyFill="1" applyBorder="1"/>
    <xf numFmtId="0" fontId="5" fillId="0" borderId="0" xfId="0" applyFont="1" applyFill="1" applyBorder="1"/>
    <xf numFmtId="0" fontId="6" fillId="0" borderId="0" xfId="0" applyFont="1" applyBorder="1"/>
    <xf numFmtId="0" fontId="0" fillId="2" borderId="15" xfId="0" applyFill="1" applyBorder="1"/>
    <xf numFmtId="0" fontId="0" fillId="0" borderId="15" xfId="0" applyBorder="1"/>
    <xf numFmtId="0" fontId="11" fillId="0" borderId="15" xfId="0" applyFont="1" applyBorder="1"/>
    <xf numFmtId="0" fontId="4" fillId="5" borderId="0" xfId="0" applyFont="1" applyFill="1"/>
    <xf numFmtId="0" fontId="5" fillId="5" borderId="0" xfId="0" applyFont="1" applyFill="1"/>
    <xf numFmtId="0" fontId="53" fillId="6" borderId="0" xfId="0" applyFont="1" applyFill="1"/>
    <xf numFmtId="0" fontId="53" fillId="0" borderId="0" xfId="0" applyFont="1" applyFill="1"/>
    <xf numFmtId="0" fontId="43" fillId="13" borderId="15" xfId="0" applyFont="1" applyFill="1" applyBorder="1"/>
    <xf numFmtId="0" fontId="54" fillId="13" borderId="0" xfId="0" applyFont="1" applyFill="1"/>
    <xf numFmtId="0" fontId="29" fillId="13" borderId="0" xfId="0" applyFont="1" applyFill="1"/>
    <xf numFmtId="0" fontId="24" fillId="0" borderId="0" xfId="0" applyFont="1" applyFill="1" applyBorder="1"/>
    <xf numFmtId="0" fontId="49" fillId="9" borderId="0" xfId="0" applyFont="1" applyFill="1"/>
    <xf numFmtId="165" fontId="0" fillId="0" borderId="0" xfId="0" applyNumberFormat="1"/>
    <xf numFmtId="0" fontId="55" fillId="0" borderId="0" xfId="0" applyFont="1" applyFill="1"/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0" fillId="0" borderId="0" xfId="0" applyFill="1" applyAlignment="1">
      <alignment vertical="top" wrapText="1"/>
    </xf>
    <xf numFmtId="0" fontId="22" fillId="0" borderId="0" xfId="0" applyFont="1" applyAlignment="1">
      <alignment vertical="top" wrapText="1"/>
    </xf>
    <xf numFmtId="0" fontId="33" fillId="0" borderId="0" xfId="0" applyFont="1" applyAlignment="1" applyProtection="1">
      <alignment vertical="top" wrapText="1"/>
      <protection locked="0"/>
    </xf>
    <xf numFmtId="0" fontId="1" fillId="0" borderId="0" xfId="0" applyFont="1" applyAlignment="1" applyProtection="1">
      <alignment vertical="top" wrapText="1"/>
      <protection locked="0"/>
    </xf>
    <xf numFmtId="0" fontId="2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2" fillId="0" borderId="4" xfId="0" applyFont="1" applyBorder="1" applyAlignment="1" applyProtection="1">
      <alignment wrapText="1"/>
      <protection locked="0"/>
    </xf>
    <xf numFmtId="0" fontId="0" fillId="0" borderId="4" xfId="0" applyBorder="1" applyAlignment="1" applyProtection="1">
      <alignment wrapText="1"/>
      <protection locked="0"/>
    </xf>
    <xf numFmtId="0" fontId="22" fillId="0" borderId="0" xfId="0" applyFont="1" applyAlignment="1">
      <alignment wrapText="1"/>
    </xf>
    <xf numFmtId="0" fontId="0" fillId="0" borderId="0" xfId="0" applyAlignment="1">
      <alignment wrapText="1"/>
    </xf>
    <xf numFmtId="0" fontId="14" fillId="0" borderId="0" xfId="0" applyFont="1" applyAlignment="1" applyProtection="1">
      <alignment vertical="top" wrapText="1"/>
      <protection locked="0"/>
    </xf>
    <xf numFmtId="0" fontId="0" fillId="0" borderId="0" xfId="0" applyAlignment="1" applyProtection="1">
      <alignment vertical="top" wrapText="1"/>
      <protection locked="0"/>
    </xf>
    <xf numFmtId="0" fontId="22" fillId="0" borderId="5" xfId="0" applyFont="1" applyBorder="1" applyAlignment="1">
      <alignment wrapText="1"/>
    </xf>
    <xf numFmtId="0" fontId="0" fillId="0" borderId="5" xfId="0" applyBorder="1" applyAlignment="1">
      <alignment wrapText="1"/>
    </xf>
    <xf numFmtId="0" fontId="14" fillId="0" borderId="5" xfId="0" applyFont="1" applyBorder="1" applyAlignment="1" applyProtection="1">
      <alignment vertical="top" wrapText="1"/>
      <protection locked="0"/>
    </xf>
    <xf numFmtId="0" fontId="0" fillId="0" borderId="5" xfId="0" applyBorder="1" applyAlignment="1" applyProtection="1">
      <alignment vertical="top" wrapText="1"/>
      <protection locked="0"/>
    </xf>
    <xf numFmtId="0" fontId="0" fillId="0" borderId="0" xfId="0" applyAlignment="1" applyProtection="1">
      <alignment vertical="top"/>
      <protection locked="0"/>
    </xf>
    <xf numFmtId="0" fontId="7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/>
    <xf numFmtId="0" fontId="14" fillId="0" borderId="0" xfId="0" applyFont="1" applyAlignment="1" applyProtection="1">
      <alignment horizontal="left" vertical="top" wrapText="1"/>
      <protection locked="0"/>
    </xf>
    <xf numFmtId="0" fontId="22" fillId="0" borderId="0" xfId="0" applyFont="1" applyFill="1" applyBorder="1" applyAlignment="1">
      <alignment vertical="top" wrapText="1"/>
    </xf>
    <xf numFmtId="0" fontId="0" fillId="0" borderId="0" xfId="0" applyAlignment="1">
      <alignment vertical="top"/>
    </xf>
    <xf numFmtId="0" fontId="7" fillId="0" borderId="9" xfId="0" applyFont="1" applyFill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7" fillId="0" borderId="7" xfId="0" applyFont="1" applyBorder="1" applyAlignment="1" applyProtection="1">
      <alignment vertical="top" wrapText="1"/>
      <protection locked="0"/>
    </xf>
    <xf numFmtId="0" fontId="38" fillId="0" borderId="7" xfId="0" applyFont="1" applyBorder="1" applyAlignment="1" applyProtection="1">
      <alignment vertical="top"/>
      <protection locked="0"/>
    </xf>
    <xf numFmtId="0" fontId="7" fillId="0" borderId="7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37" fillId="0" borderId="8" xfId="0" applyFont="1" applyBorder="1" applyAlignment="1" applyProtection="1">
      <alignment horizontal="left" vertical="top" wrapText="1"/>
      <protection locked="0"/>
    </xf>
    <xf numFmtId="0" fontId="9" fillId="0" borderId="0" xfId="0" applyFont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56" fillId="8" borderId="0" xfId="1" applyFont="1" applyFill="1" applyAlignment="1" applyProtection="1"/>
  </cellXfs>
  <cellStyles count="3">
    <cellStyle name="Lien hypertexte" xfId="1" builtinId="8"/>
    <cellStyle name="Normal" xfId="0" builtinId="0"/>
    <cellStyle name="Normal 2" xfId="2"/>
  </cellStyles>
  <dxfs count="0"/>
  <tableStyles count="0" defaultTableStyle="TableStyleMedium9" defaultPivotStyle="PivotStyleLight16"/>
  <colors>
    <mruColors>
      <color rgb="FF00FFFF"/>
      <color rgb="FFFFFF99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15-TRIM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rim 1"/>
      <sheetName val="Trim 2"/>
      <sheetName val="Trim 3"/>
      <sheetName val="Trim 4"/>
      <sheetName val="Cumul trimestriels"/>
      <sheetName val="Traitements divers"/>
      <sheetName val="Emb. fonds BBR"/>
      <sheetName val="Projet Sud"/>
      <sheetName val="Scannage rapide"/>
      <sheetName val="Relectures"/>
      <sheetName val="Réimpressions"/>
      <sheetName val="Acquis extérieur (sauf AVH)"/>
      <sheetName val="Acquis AVH"/>
      <sheetName val="pour OFAS"/>
      <sheetName val="Braille pour RA ABA"/>
    </sheetNames>
    <sheetDataSet>
      <sheetData sheetId="0"/>
      <sheetData sheetId="1"/>
      <sheetData sheetId="2"/>
      <sheetData sheetId="3"/>
      <sheetData sheetId="4">
        <row r="105">
          <cell r="E105">
            <v>50250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..\..\Informations_pour_realisation\BBR-heures-productives.docx" TargetMode="External"/><Relationship Id="rId2" Type="http://schemas.openxmlformats.org/officeDocument/2006/relationships/hyperlink" Target="..\Explications%20donn&#233;es%20du%20reporting%202015-2018%20V%2016.11.2015.docx" TargetMode="External"/><Relationship Id="rId1" Type="http://schemas.openxmlformats.org/officeDocument/2006/relationships/hyperlink" Target="../comment-decompter-Precisions%20apres%20visites%20des%20bibliotheques%202015.docx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2015-copies-de-CD+transferts.xlsx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2015-TRIM.xlsx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V34"/>
  <sheetViews>
    <sheetView topLeftCell="EL4" workbookViewId="0">
      <selection activeCell="EL4" sqref="A1:XFD1048576"/>
    </sheetView>
  </sheetViews>
  <sheetFormatPr baseColWidth="10" defaultRowHeight="15"/>
  <sheetData>
    <row r="1" spans="1:152">
      <c r="A1" t="s">
        <v>0</v>
      </c>
      <c r="B1">
        <v>1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>
        <v>13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>
        <v>16</v>
      </c>
      <c r="P1" t="s">
        <v>45</v>
      </c>
      <c r="Q1" t="s">
        <v>46</v>
      </c>
      <c r="R1">
        <v>17</v>
      </c>
      <c r="S1" t="s">
        <v>47</v>
      </c>
      <c r="T1" t="s">
        <v>48</v>
      </c>
      <c r="U1" t="s">
        <v>49</v>
      </c>
      <c r="V1">
        <v>19</v>
      </c>
      <c r="W1" t="s">
        <v>50</v>
      </c>
      <c r="X1">
        <v>2</v>
      </c>
      <c r="Y1">
        <v>21</v>
      </c>
      <c r="Z1">
        <v>24</v>
      </c>
      <c r="AA1">
        <v>27</v>
      </c>
      <c r="AB1">
        <v>29</v>
      </c>
      <c r="AC1" t="s">
        <v>51</v>
      </c>
      <c r="AD1">
        <v>4</v>
      </c>
      <c r="AE1" t="s">
        <v>52</v>
      </c>
      <c r="AF1" t="s">
        <v>53</v>
      </c>
      <c r="AG1" t="s">
        <v>54</v>
      </c>
      <c r="AH1">
        <v>44</v>
      </c>
      <c r="AI1">
        <v>45</v>
      </c>
      <c r="AJ1" t="s">
        <v>55</v>
      </c>
      <c r="AK1" t="s">
        <v>56</v>
      </c>
      <c r="AL1" t="s">
        <v>57</v>
      </c>
      <c r="AM1">
        <v>47</v>
      </c>
      <c r="AN1" t="s">
        <v>58</v>
      </c>
      <c r="AO1">
        <v>49</v>
      </c>
      <c r="AP1">
        <v>5</v>
      </c>
      <c r="AQ1">
        <v>51</v>
      </c>
      <c r="AR1">
        <v>52</v>
      </c>
      <c r="AS1">
        <v>53</v>
      </c>
      <c r="AT1">
        <v>54</v>
      </c>
      <c r="AU1">
        <v>55</v>
      </c>
      <c r="AV1" t="s">
        <v>59</v>
      </c>
      <c r="AW1" t="s">
        <v>60</v>
      </c>
      <c r="AX1" t="s">
        <v>61</v>
      </c>
      <c r="AY1">
        <v>56</v>
      </c>
      <c r="AZ1" t="s">
        <v>62</v>
      </c>
      <c r="BA1">
        <v>6</v>
      </c>
      <c r="BB1">
        <v>60</v>
      </c>
      <c r="BC1">
        <v>61</v>
      </c>
      <c r="BD1">
        <v>62</v>
      </c>
      <c r="BE1">
        <v>63</v>
      </c>
      <c r="BF1">
        <v>64</v>
      </c>
      <c r="BG1" t="s">
        <v>63</v>
      </c>
      <c r="BH1" t="s">
        <v>64</v>
      </c>
      <c r="BI1" t="s">
        <v>65</v>
      </c>
      <c r="BJ1">
        <v>67</v>
      </c>
      <c r="BK1">
        <v>68</v>
      </c>
      <c r="BL1">
        <v>69</v>
      </c>
      <c r="BM1" t="s">
        <v>66</v>
      </c>
      <c r="BN1" t="s">
        <v>67</v>
      </c>
      <c r="BO1" t="s">
        <v>68</v>
      </c>
      <c r="BP1">
        <v>71</v>
      </c>
      <c r="BQ1">
        <v>72</v>
      </c>
      <c r="BR1" t="s">
        <v>69</v>
      </c>
      <c r="BS1" t="s">
        <v>70</v>
      </c>
      <c r="BT1">
        <v>73</v>
      </c>
      <c r="BU1" t="s">
        <v>71</v>
      </c>
      <c r="BV1">
        <v>74</v>
      </c>
      <c r="BW1">
        <v>75</v>
      </c>
      <c r="BX1">
        <v>76</v>
      </c>
      <c r="BY1" t="s">
        <v>72</v>
      </c>
      <c r="BZ1" t="s">
        <v>73</v>
      </c>
      <c r="CA1">
        <v>77</v>
      </c>
      <c r="CB1">
        <v>78</v>
      </c>
      <c r="CC1">
        <v>79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82</v>
      </c>
      <c r="CM1" t="s">
        <v>83</v>
      </c>
      <c r="CN1" t="s">
        <v>84</v>
      </c>
      <c r="CO1" t="s">
        <v>85</v>
      </c>
      <c r="CP1" t="s">
        <v>86</v>
      </c>
      <c r="CQ1" t="s">
        <v>87</v>
      </c>
      <c r="CR1" t="s">
        <v>88</v>
      </c>
      <c r="CS1" t="s">
        <v>89</v>
      </c>
      <c r="CT1" t="s">
        <v>90</v>
      </c>
      <c r="CU1" t="s">
        <v>91</v>
      </c>
      <c r="CV1" t="s">
        <v>92</v>
      </c>
      <c r="CW1" t="s">
        <v>93</v>
      </c>
      <c r="CX1" t="s">
        <v>94</v>
      </c>
      <c r="CY1" t="s">
        <v>95</v>
      </c>
      <c r="CZ1" t="s">
        <v>96</v>
      </c>
      <c r="DA1" t="s">
        <v>97</v>
      </c>
      <c r="DB1" t="s">
        <v>98</v>
      </c>
      <c r="DC1" t="s">
        <v>99</v>
      </c>
      <c r="DD1" t="s">
        <v>100</v>
      </c>
      <c r="DE1" t="s">
        <v>101</v>
      </c>
      <c r="DF1" t="s">
        <v>102</v>
      </c>
      <c r="DG1" t="s">
        <v>103</v>
      </c>
      <c r="DH1" t="s">
        <v>104</v>
      </c>
      <c r="DI1" t="s">
        <v>105</v>
      </c>
      <c r="DJ1" t="s">
        <v>106</v>
      </c>
      <c r="DK1" t="s">
        <v>107</v>
      </c>
      <c r="DL1" t="s">
        <v>108</v>
      </c>
      <c r="DM1" t="s">
        <v>109</v>
      </c>
      <c r="DN1" t="s">
        <v>110</v>
      </c>
      <c r="DO1" t="s">
        <v>111</v>
      </c>
      <c r="DP1" t="s">
        <v>112</v>
      </c>
      <c r="DQ1" t="s">
        <v>113</v>
      </c>
      <c r="DR1" t="s">
        <v>114</v>
      </c>
      <c r="DS1" t="s">
        <v>115</v>
      </c>
      <c r="DT1" t="s">
        <v>116</v>
      </c>
      <c r="DU1" t="s">
        <v>117</v>
      </c>
      <c r="DV1" t="s">
        <v>118</v>
      </c>
      <c r="DW1" t="s">
        <v>119</v>
      </c>
      <c r="DX1" t="s">
        <v>120</v>
      </c>
      <c r="DY1" t="s">
        <v>121</v>
      </c>
      <c r="DZ1" t="s">
        <v>122</v>
      </c>
      <c r="EA1" t="s">
        <v>123</v>
      </c>
      <c r="EB1" t="s">
        <v>124</v>
      </c>
      <c r="EC1" t="s">
        <v>125</v>
      </c>
      <c r="ED1" t="s">
        <v>126</v>
      </c>
      <c r="EE1" t="s">
        <v>127</v>
      </c>
      <c r="EF1" t="s">
        <v>128</v>
      </c>
      <c r="EG1" t="s">
        <v>129</v>
      </c>
      <c r="EH1" t="s">
        <v>130</v>
      </c>
      <c r="EI1" t="s">
        <v>131</v>
      </c>
      <c r="EJ1" t="s">
        <v>132</v>
      </c>
      <c r="EK1" t="s">
        <v>133</v>
      </c>
      <c r="EL1" t="s">
        <v>134</v>
      </c>
      <c r="EM1" t="s">
        <v>135</v>
      </c>
      <c r="EN1" t="s">
        <v>136</v>
      </c>
      <c r="EO1" t="s">
        <v>137</v>
      </c>
      <c r="EP1" t="s">
        <v>138</v>
      </c>
      <c r="EQ1" t="s">
        <v>139</v>
      </c>
      <c r="ER1" t="s">
        <v>140</v>
      </c>
      <c r="ES1" t="s">
        <v>141</v>
      </c>
      <c r="ET1" t="s">
        <v>142</v>
      </c>
      <c r="EU1" t="s">
        <v>143</v>
      </c>
      <c r="EV1" t="s">
        <v>33</v>
      </c>
    </row>
    <row r="2" spans="1:152">
      <c r="A2" t="s">
        <v>1</v>
      </c>
      <c r="W2">
        <v>3.75</v>
      </c>
      <c r="AM2">
        <v>1.25</v>
      </c>
      <c r="AQ2">
        <v>50</v>
      </c>
      <c r="AR2">
        <v>20.5</v>
      </c>
      <c r="AS2">
        <v>1.75</v>
      </c>
      <c r="BC2">
        <v>16.25</v>
      </c>
      <c r="BE2">
        <v>1.5</v>
      </c>
      <c r="BF2">
        <v>9.75</v>
      </c>
      <c r="BG2">
        <v>1.5</v>
      </c>
      <c r="BL2">
        <v>5.75</v>
      </c>
      <c r="BM2">
        <v>10.5</v>
      </c>
      <c r="BQ2">
        <v>1.25</v>
      </c>
      <c r="BT2">
        <v>10.51</v>
      </c>
      <c r="BU2">
        <v>139</v>
      </c>
      <c r="CB2">
        <v>1.5</v>
      </c>
      <c r="CC2">
        <v>4.25</v>
      </c>
      <c r="CX2">
        <v>7.2</v>
      </c>
      <c r="DM2">
        <v>2</v>
      </c>
      <c r="EV2">
        <v>288.20999999999998</v>
      </c>
    </row>
    <row r="3" spans="1:152">
      <c r="A3" t="s">
        <v>2</v>
      </c>
      <c r="I3">
        <v>1.75</v>
      </c>
      <c r="M3">
        <v>0.25</v>
      </c>
      <c r="N3">
        <v>0.5</v>
      </c>
      <c r="O3">
        <v>0.25</v>
      </c>
      <c r="AO3">
        <v>9</v>
      </c>
      <c r="AQ3">
        <v>41.75</v>
      </c>
      <c r="AR3">
        <v>4.75</v>
      </c>
      <c r="AS3">
        <v>10.5</v>
      </c>
      <c r="AT3">
        <v>4</v>
      </c>
      <c r="AU3">
        <v>1.75</v>
      </c>
      <c r="AY3">
        <v>0.75</v>
      </c>
      <c r="BA3">
        <v>103.5</v>
      </c>
      <c r="BB3">
        <v>1.25</v>
      </c>
      <c r="BC3">
        <v>700.75</v>
      </c>
      <c r="BD3">
        <v>2.75</v>
      </c>
      <c r="BE3">
        <v>27.75</v>
      </c>
      <c r="BF3">
        <v>106.5</v>
      </c>
      <c r="BG3">
        <v>15.5</v>
      </c>
      <c r="BK3">
        <v>49.25</v>
      </c>
      <c r="BL3">
        <v>55.25</v>
      </c>
      <c r="BO3">
        <v>4.5</v>
      </c>
      <c r="BP3">
        <v>10.25</v>
      </c>
      <c r="BQ3">
        <v>15.25</v>
      </c>
      <c r="BT3">
        <v>14.25</v>
      </c>
      <c r="BX3">
        <v>4.5</v>
      </c>
      <c r="BY3">
        <v>15.25</v>
      </c>
      <c r="BZ3">
        <v>1.25</v>
      </c>
      <c r="CA3">
        <v>9</v>
      </c>
      <c r="CB3">
        <v>37</v>
      </c>
      <c r="CC3">
        <v>59.5</v>
      </c>
      <c r="CD3">
        <v>0.75</v>
      </c>
      <c r="CN3">
        <v>1.25</v>
      </c>
      <c r="CR3">
        <v>8</v>
      </c>
      <c r="CX3">
        <v>57.6</v>
      </c>
      <c r="DM3">
        <v>0.5</v>
      </c>
      <c r="DN3">
        <v>2</v>
      </c>
      <c r="DP3">
        <v>32.5</v>
      </c>
      <c r="DQ3">
        <v>55.5</v>
      </c>
      <c r="EQ3">
        <v>2.75</v>
      </c>
      <c r="ER3">
        <v>197.5</v>
      </c>
      <c r="EU3">
        <v>3</v>
      </c>
      <c r="EV3">
        <v>1669.85</v>
      </c>
    </row>
    <row r="4" spans="1:152">
      <c r="A4" t="s">
        <v>3</v>
      </c>
      <c r="B4">
        <v>104.5</v>
      </c>
      <c r="C4">
        <v>13</v>
      </c>
      <c r="D4">
        <v>49</v>
      </c>
      <c r="E4">
        <v>10.5</v>
      </c>
      <c r="F4">
        <v>121.75</v>
      </c>
      <c r="H4">
        <v>311.25</v>
      </c>
      <c r="O4">
        <v>1.75</v>
      </c>
      <c r="P4">
        <v>1</v>
      </c>
      <c r="Q4">
        <v>4</v>
      </c>
      <c r="V4">
        <v>5.5</v>
      </c>
      <c r="Y4">
        <v>5</v>
      </c>
      <c r="AA4">
        <v>9.5</v>
      </c>
      <c r="BK4">
        <v>0.25</v>
      </c>
      <c r="BP4">
        <v>19</v>
      </c>
      <c r="BT4">
        <v>6.25</v>
      </c>
      <c r="BY4">
        <v>2.25</v>
      </c>
      <c r="CB4">
        <v>28.5</v>
      </c>
      <c r="CC4">
        <v>31.5</v>
      </c>
      <c r="CE4">
        <v>122</v>
      </c>
      <c r="CJ4">
        <v>18.25</v>
      </c>
      <c r="CK4">
        <v>6.25</v>
      </c>
      <c r="CM4">
        <v>3.5</v>
      </c>
      <c r="CQ4">
        <v>7.75</v>
      </c>
      <c r="CR4">
        <v>4</v>
      </c>
      <c r="CS4">
        <v>0.75</v>
      </c>
      <c r="CX4">
        <v>49.6</v>
      </c>
      <c r="DI4">
        <v>4.75</v>
      </c>
      <c r="DP4">
        <v>29</v>
      </c>
      <c r="DQ4">
        <v>36</v>
      </c>
      <c r="DR4">
        <v>2.5</v>
      </c>
      <c r="DS4">
        <v>111.25</v>
      </c>
      <c r="DT4">
        <v>104</v>
      </c>
      <c r="DU4">
        <v>30.75</v>
      </c>
      <c r="DV4">
        <v>4</v>
      </c>
      <c r="ER4">
        <v>142.5</v>
      </c>
      <c r="ES4">
        <v>8.75</v>
      </c>
      <c r="EV4">
        <v>1410.1</v>
      </c>
    </row>
    <row r="5" spans="1:152">
      <c r="A5" t="s">
        <v>4</v>
      </c>
      <c r="F5">
        <v>31.5</v>
      </c>
      <c r="H5">
        <v>119.25</v>
      </c>
      <c r="BP5">
        <v>2.25</v>
      </c>
      <c r="CB5">
        <v>1</v>
      </c>
      <c r="CC5">
        <v>16</v>
      </c>
      <c r="CX5">
        <v>4</v>
      </c>
      <c r="DP5">
        <v>32</v>
      </c>
      <c r="DQ5">
        <v>7</v>
      </c>
      <c r="ER5">
        <v>36</v>
      </c>
      <c r="EU5">
        <v>4</v>
      </c>
      <c r="EV5">
        <v>253</v>
      </c>
    </row>
    <row r="6" spans="1:152">
      <c r="A6" t="s">
        <v>5</v>
      </c>
      <c r="AD6">
        <v>21.25</v>
      </c>
      <c r="AE6">
        <v>234.5</v>
      </c>
      <c r="AF6">
        <v>442</v>
      </c>
      <c r="AH6">
        <v>23.5</v>
      </c>
      <c r="AI6">
        <v>0.5</v>
      </c>
      <c r="AJ6">
        <v>3</v>
      </c>
      <c r="AO6">
        <v>0.25</v>
      </c>
      <c r="BP6">
        <v>0.5</v>
      </c>
      <c r="BQ6">
        <v>7.13</v>
      </c>
      <c r="BY6">
        <v>24</v>
      </c>
      <c r="CA6">
        <v>1.5</v>
      </c>
      <c r="CB6">
        <v>38.25</v>
      </c>
      <c r="CC6">
        <v>29.75</v>
      </c>
      <c r="CR6">
        <v>37</v>
      </c>
      <c r="CX6">
        <v>41.6</v>
      </c>
      <c r="DQ6">
        <v>42.5</v>
      </c>
      <c r="ER6">
        <v>90.5</v>
      </c>
      <c r="EU6">
        <v>30</v>
      </c>
      <c r="EV6">
        <v>1067.73</v>
      </c>
    </row>
    <row r="7" spans="1:152">
      <c r="A7" t="s">
        <v>6</v>
      </c>
      <c r="AD7">
        <v>27</v>
      </c>
      <c r="AE7">
        <v>387.75</v>
      </c>
      <c r="AF7">
        <v>353.5</v>
      </c>
      <c r="AG7">
        <v>268</v>
      </c>
      <c r="AI7">
        <v>3</v>
      </c>
      <c r="AJ7">
        <v>2</v>
      </c>
      <c r="AL7">
        <v>7.5</v>
      </c>
      <c r="AM7">
        <v>2.75</v>
      </c>
      <c r="AN7">
        <v>2</v>
      </c>
      <c r="AO7">
        <v>50.5</v>
      </c>
      <c r="BP7">
        <v>45</v>
      </c>
      <c r="BX7">
        <v>5.63</v>
      </c>
      <c r="CB7">
        <v>43.75</v>
      </c>
      <c r="CC7">
        <v>0.25</v>
      </c>
      <c r="CR7">
        <v>12</v>
      </c>
      <c r="CX7">
        <v>50.4</v>
      </c>
      <c r="DP7">
        <v>16</v>
      </c>
      <c r="DQ7">
        <v>53</v>
      </c>
      <c r="ER7">
        <v>131.5</v>
      </c>
      <c r="EV7">
        <v>1461.53</v>
      </c>
    </row>
    <row r="8" spans="1:152">
      <c r="A8" t="s">
        <v>7</v>
      </c>
      <c r="EV8">
        <v>0</v>
      </c>
    </row>
    <row r="9" spans="1:152">
      <c r="A9" t="s">
        <v>8</v>
      </c>
      <c r="AP9">
        <v>19</v>
      </c>
      <c r="AQ9">
        <v>414</v>
      </c>
      <c r="AR9">
        <v>155</v>
      </c>
      <c r="AS9">
        <v>53.75</v>
      </c>
      <c r="AT9">
        <v>50.5</v>
      </c>
      <c r="AU9">
        <v>138.5</v>
      </c>
      <c r="AX9">
        <v>12.25</v>
      </c>
      <c r="AY9">
        <v>8.25</v>
      </c>
      <c r="BQ9">
        <v>3</v>
      </c>
      <c r="BT9">
        <v>4.5</v>
      </c>
      <c r="BU9">
        <v>15.5</v>
      </c>
      <c r="CB9">
        <v>23.5</v>
      </c>
      <c r="CC9">
        <v>1.5</v>
      </c>
      <c r="CR9">
        <v>19.5</v>
      </c>
      <c r="CX9">
        <v>36</v>
      </c>
      <c r="DM9">
        <v>3</v>
      </c>
      <c r="DQ9">
        <v>14.25</v>
      </c>
      <c r="ER9">
        <v>70</v>
      </c>
      <c r="EU9">
        <v>7</v>
      </c>
      <c r="EV9">
        <v>1049</v>
      </c>
    </row>
    <row r="10" spans="1:152">
      <c r="A10" t="s">
        <v>9</v>
      </c>
      <c r="B10">
        <v>294.25</v>
      </c>
      <c r="G10">
        <v>1.25</v>
      </c>
      <c r="H10">
        <v>171</v>
      </c>
      <c r="I10">
        <v>2</v>
      </c>
      <c r="J10">
        <v>0.25</v>
      </c>
      <c r="M10">
        <v>37.75</v>
      </c>
      <c r="N10">
        <v>0.5</v>
      </c>
      <c r="O10">
        <v>1.5</v>
      </c>
      <c r="P10">
        <v>19.75</v>
      </c>
      <c r="R10">
        <v>2.5</v>
      </c>
      <c r="S10">
        <v>2</v>
      </c>
      <c r="T10">
        <v>0.5</v>
      </c>
      <c r="U10">
        <v>2.5</v>
      </c>
      <c r="V10">
        <v>100.5</v>
      </c>
      <c r="X10">
        <v>16.25</v>
      </c>
      <c r="Y10">
        <v>11</v>
      </c>
      <c r="AA10">
        <v>0.75</v>
      </c>
      <c r="BP10">
        <v>18.5</v>
      </c>
      <c r="BT10">
        <v>3.75</v>
      </c>
      <c r="BW10">
        <v>0.5</v>
      </c>
      <c r="BX10">
        <v>11.51</v>
      </c>
      <c r="CA10">
        <v>32.5</v>
      </c>
      <c r="CB10">
        <v>80.25</v>
      </c>
      <c r="CC10">
        <v>73</v>
      </c>
      <c r="CF10">
        <v>1.25</v>
      </c>
      <c r="CJ10">
        <v>13</v>
      </c>
      <c r="CK10">
        <v>10.75</v>
      </c>
      <c r="CO10">
        <v>2.5</v>
      </c>
      <c r="CQ10">
        <v>2.75</v>
      </c>
      <c r="CR10">
        <v>49.75</v>
      </c>
      <c r="CS10">
        <v>5.75</v>
      </c>
      <c r="CU10">
        <v>0.5</v>
      </c>
      <c r="CW10">
        <v>5.75</v>
      </c>
      <c r="CX10">
        <v>43.2</v>
      </c>
      <c r="DK10">
        <v>1.75</v>
      </c>
      <c r="DL10">
        <v>1</v>
      </c>
      <c r="DN10">
        <v>1.75</v>
      </c>
      <c r="DP10">
        <v>15.5</v>
      </c>
      <c r="DQ10">
        <v>43.75</v>
      </c>
      <c r="DR10">
        <v>1</v>
      </c>
      <c r="DS10">
        <v>8.75</v>
      </c>
      <c r="DT10">
        <v>10.25</v>
      </c>
      <c r="DU10">
        <v>12</v>
      </c>
      <c r="EQ10">
        <v>0.5</v>
      </c>
      <c r="ER10">
        <v>128.5</v>
      </c>
      <c r="EV10">
        <v>1244.21</v>
      </c>
    </row>
    <row r="11" spans="1:152">
      <c r="A11" t="s">
        <v>10</v>
      </c>
      <c r="B11">
        <v>37.5</v>
      </c>
      <c r="I11">
        <v>12</v>
      </c>
      <c r="J11">
        <v>11</v>
      </c>
      <c r="L11">
        <v>0.25</v>
      </c>
      <c r="AC11">
        <v>1.25</v>
      </c>
      <c r="AD11">
        <v>0.25</v>
      </c>
      <c r="AO11">
        <v>4.75</v>
      </c>
      <c r="AS11">
        <v>1.5</v>
      </c>
      <c r="AT11">
        <v>1</v>
      </c>
      <c r="AU11">
        <v>0.5</v>
      </c>
      <c r="BA11">
        <v>1</v>
      </c>
      <c r="BC11">
        <v>183.5</v>
      </c>
      <c r="BE11">
        <v>0.25</v>
      </c>
      <c r="BF11">
        <v>305.75</v>
      </c>
      <c r="BH11">
        <v>278</v>
      </c>
      <c r="BK11">
        <v>80.5</v>
      </c>
      <c r="BL11">
        <v>47.5</v>
      </c>
      <c r="BM11">
        <v>15.5</v>
      </c>
      <c r="BO11">
        <v>5.75</v>
      </c>
      <c r="BQ11">
        <v>21.5</v>
      </c>
      <c r="BT11">
        <v>52.63</v>
      </c>
      <c r="BX11">
        <v>1.75</v>
      </c>
      <c r="BY11">
        <v>2.5</v>
      </c>
      <c r="BZ11">
        <v>0.25</v>
      </c>
      <c r="CB11">
        <v>14.5</v>
      </c>
      <c r="CC11">
        <v>67.25</v>
      </c>
      <c r="CH11">
        <v>4</v>
      </c>
      <c r="CR11">
        <v>8</v>
      </c>
      <c r="CX11">
        <v>50.4</v>
      </c>
      <c r="CY11">
        <v>1.5</v>
      </c>
      <c r="CZ11">
        <v>2.25</v>
      </c>
      <c r="DA11">
        <v>2.75</v>
      </c>
      <c r="DJ11">
        <v>1</v>
      </c>
      <c r="DN11">
        <v>5.25</v>
      </c>
      <c r="DO11">
        <v>10.75</v>
      </c>
      <c r="DP11">
        <v>12</v>
      </c>
      <c r="DQ11">
        <v>52.25</v>
      </c>
      <c r="DV11">
        <v>1</v>
      </c>
      <c r="DZ11">
        <v>0.5</v>
      </c>
      <c r="EA11">
        <v>2.25</v>
      </c>
      <c r="EG11">
        <v>10.75</v>
      </c>
      <c r="EQ11">
        <v>8</v>
      </c>
      <c r="ER11">
        <v>144</v>
      </c>
      <c r="EV11">
        <v>1464.78</v>
      </c>
    </row>
    <row r="12" spans="1:152">
      <c r="A12" t="s">
        <v>11</v>
      </c>
      <c r="AI12">
        <v>0.75</v>
      </c>
      <c r="AO12">
        <v>3.75</v>
      </c>
      <c r="AP12">
        <v>33.5</v>
      </c>
      <c r="AQ12">
        <v>393.75</v>
      </c>
      <c r="AR12">
        <v>84.5</v>
      </c>
      <c r="AS12">
        <v>107</v>
      </c>
      <c r="AT12">
        <v>50.5</v>
      </c>
      <c r="AU12">
        <v>27.5</v>
      </c>
      <c r="AV12">
        <v>0.75</v>
      </c>
      <c r="AX12">
        <v>3.5</v>
      </c>
      <c r="AY12">
        <v>28.5</v>
      </c>
      <c r="AZ12">
        <v>1.25</v>
      </c>
      <c r="BE12">
        <v>0.5</v>
      </c>
      <c r="BQ12">
        <v>3.5</v>
      </c>
      <c r="BT12">
        <v>2.25</v>
      </c>
      <c r="BV12">
        <v>0.75</v>
      </c>
      <c r="BX12">
        <v>2</v>
      </c>
      <c r="BY12">
        <v>1.75</v>
      </c>
      <c r="CB12">
        <v>22</v>
      </c>
      <c r="CC12">
        <v>29</v>
      </c>
      <c r="CX12">
        <v>36</v>
      </c>
      <c r="DM12">
        <v>0.75</v>
      </c>
      <c r="DP12">
        <v>121</v>
      </c>
      <c r="DQ12">
        <v>8.25</v>
      </c>
      <c r="ER12">
        <v>80</v>
      </c>
      <c r="EV12">
        <v>1043</v>
      </c>
    </row>
    <row r="13" spans="1:152">
      <c r="A13" t="s">
        <v>12</v>
      </c>
      <c r="AD13">
        <v>16.5</v>
      </c>
      <c r="AE13">
        <v>52.75</v>
      </c>
      <c r="AF13">
        <v>218.75</v>
      </c>
      <c r="AH13">
        <v>35.25</v>
      </c>
      <c r="AI13">
        <v>4</v>
      </c>
      <c r="AM13">
        <v>2</v>
      </c>
      <c r="AO13">
        <v>6.75</v>
      </c>
      <c r="BP13">
        <v>12</v>
      </c>
      <c r="BX13">
        <v>5.63</v>
      </c>
      <c r="CA13">
        <v>8.25</v>
      </c>
      <c r="CB13">
        <v>7.5</v>
      </c>
      <c r="CC13">
        <v>12.5</v>
      </c>
      <c r="CR13">
        <v>12.5</v>
      </c>
      <c r="CV13">
        <v>3.5</v>
      </c>
      <c r="CX13">
        <v>14.4</v>
      </c>
      <c r="DQ13">
        <v>1</v>
      </c>
      <c r="ER13">
        <v>10</v>
      </c>
      <c r="EV13">
        <v>423.28</v>
      </c>
    </row>
    <row r="14" spans="1:152">
      <c r="A14" t="s">
        <v>13</v>
      </c>
      <c r="AD14">
        <v>152.5</v>
      </c>
      <c r="AJ14">
        <v>3.75</v>
      </c>
      <c r="AM14">
        <v>8</v>
      </c>
      <c r="AO14">
        <v>0.25</v>
      </c>
      <c r="BP14">
        <v>2</v>
      </c>
      <c r="CA14">
        <v>56.75</v>
      </c>
      <c r="CB14">
        <v>47.5</v>
      </c>
      <c r="CC14">
        <v>2</v>
      </c>
      <c r="CE14">
        <v>64</v>
      </c>
      <c r="CX14">
        <v>20</v>
      </c>
      <c r="DP14">
        <v>16</v>
      </c>
      <c r="DQ14">
        <v>17.25</v>
      </c>
      <c r="DT14">
        <v>3</v>
      </c>
      <c r="DW14">
        <v>1.25</v>
      </c>
      <c r="DX14">
        <v>26.75</v>
      </c>
      <c r="DY14">
        <v>0.5</v>
      </c>
      <c r="EB14">
        <v>2.75</v>
      </c>
      <c r="EE14">
        <v>190.25</v>
      </c>
      <c r="ER14">
        <v>76</v>
      </c>
      <c r="EV14">
        <v>690.5</v>
      </c>
    </row>
    <row r="15" spans="1:152">
      <c r="A15" t="s">
        <v>14</v>
      </c>
      <c r="B15">
        <v>10.5</v>
      </c>
      <c r="D15">
        <v>28</v>
      </c>
      <c r="F15">
        <v>251.25</v>
      </c>
      <c r="H15">
        <v>304</v>
      </c>
      <c r="P15">
        <v>33</v>
      </c>
      <c r="R15">
        <v>57</v>
      </c>
      <c r="V15">
        <v>38.5</v>
      </c>
      <c r="BP15">
        <v>9.5</v>
      </c>
      <c r="BW15">
        <v>29.25</v>
      </c>
      <c r="CB15">
        <v>9.25</v>
      </c>
      <c r="CC15">
        <v>47.25</v>
      </c>
      <c r="CQ15">
        <v>14.5</v>
      </c>
      <c r="CR15">
        <v>12</v>
      </c>
      <c r="CX15">
        <v>39.6</v>
      </c>
      <c r="DI15">
        <v>1</v>
      </c>
      <c r="DP15">
        <v>20</v>
      </c>
      <c r="DQ15">
        <v>23.75</v>
      </c>
      <c r="DS15">
        <v>5.25</v>
      </c>
      <c r="DT15">
        <v>15.75</v>
      </c>
      <c r="DV15">
        <v>50</v>
      </c>
      <c r="ER15">
        <v>144</v>
      </c>
      <c r="EV15">
        <v>1143.3499999999999</v>
      </c>
    </row>
    <row r="16" spans="1:152">
      <c r="A16" t="s">
        <v>15</v>
      </c>
      <c r="AD16">
        <v>51.5</v>
      </c>
      <c r="AE16">
        <v>79.5</v>
      </c>
      <c r="AF16">
        <v>154</v>
      </c>
      <c r="AH16">
        <v>29.75</v>
      </c>
      <c r="AI16">
        <v>3</v>
      </c>
      <c r="AJ16">
        <v>1.75</v>
      </c>
      <c r="AL16">
        <v>2.5</v>
      </c>
      <c r="AO16">
        <v>48.63</v>
      </c>
      <c r="BP16">
        <v>2</v>
      </c>
      <c r="BY16">
        <v>27.5</v>
      </c>
      <c r="CA16">
        <v>0.75</v>
      </c>
      <c r="CB16">
        <v>16</v>
      </c>
      <c r="CC16">
        <v>15.25</v>
      </c>
      <c r="CX16">
        <v>39.200000000000003</v>
      </c>
      <c r="DP16">
        <v>279.75</v>
      </c>
      <c r="DQ16">
        <v>7.75</v>
      </c>
      <c r="DW16">
        <v>0.75</v>
      </c>
      <c r="ER16">
        <v>114</v>
      </c>
      <c r="EU16">
        <v>228.75</v>
      </c>
      <c r="EV16">
        <v>1102.33</v>
      </c>
    </row>
    <row r="17" spans="1:152">
      <c r="A17" t="s">
        <v>16</v>
      </c>
      <c r="EV17">
        <v>0</v>
      </c>
    </row>
    <row r="18" spans="1:152">
      <c r="A18" t="s">
        <v>17</v>
      </c>
      <c r="B18">
        <v>28.5</v>
      </c>
      <c r="C18">
        <v>13.25</v>
      </c>
      <c r="D18">
        <v>79</v>
      </c>
      <c r="E18">
        <v>9.25</v>
      </c>
      <c r="F18">
        <v>99</v>
      </c>
      <c r="G18">
        <v>7.75</v>
      </c>
      <c r="H18">
        <v>284</v>
      </c>
      <c r="P18">
        <v>88.75</v>
      </c>
      <c r="Q18">
        <v>6</v>
      </c>
      <c r="R18">
        <v>9</v>
      </c>
      <c r="S18">
        <v>13.25</v>
      </c>
      <c r="V18">
        <v>15.75</v>
      </c>
      <c r="BP18">
        <v>10.5</v>
      </c>
      <c r="BT18">
        <v>40</v>
      </c>
      <c r="CB18">
        <v>12.5</v>
      </c>
      <c r="CC18">
        <v>35</v>
      </c>
      <c r="CF18">
        <v>0.25</v>
      </c>
      <c r="CR18">
        <v>12</v>
      </c>
      <c r="CS18">
        <v>0.75</v>
      </c>
      <c r="CX18">
        <v>36</v>
      </c>
      <c r="CY18">
        <v>2.75</v>
      </c>
      <c r="DI18">
        <v>8.75</v>
      </c>
      <c r="DP18">
        <v>43.75</v>
      </c>
      <c r="DQ18">
        <v>41.5</v>
      </c>
      <c r="DR18">
        <v>9.75</v>
      </c>
      <c r="DT18">
        <v>18.25</v>
      </c>
      <c r="DV18">
        <v>15</v>
      </c>
      <c r="ER18">
        <v>104.5</v>
      </c>
      <c r="EU18">
        <v>4</v>
      </c>
      <c r="EV18">
        <v>1048.75</v>
      </c>
    </row>
    <row r="19" spans="1:152">
      <c r="A19" t="s">
        <v>18</v>
      </c>
      <c r="B19">
        <v>3.75</v>
      </c>
      <c r="X19">
        <v>117.5</v>
      </c>
      <c r="Y19">
        <v>108.25</v>
      </c>
      <c r="Z19">
        <v>125</v>
      </c>
      <c r="AA19">
        <v>14.25</v>
      </c>
      <c r="AB19">
        <v>4.75</v>
      </c>
      <c r="AE19">
        <v>16.25</v>
      </c>
      <c r="AP19">
        <v>486</v>
      </c>
      <c r="AX19">
        <v>5</v>
      </c>
      <c r="AZ19">
        <v>5.5</v>
      </c>
      <c r="BE19">
        <v>2.5</v>
      </c>
      <c r="BG19">
        <v>80</v>
      </c>
      <c r="BM19">
        <v>7.75</v>
      </c>
      <c r="BQ19">
        <v>4.75</v>
      </c>
      <c r="BT19">
        <v>94.38</v>
      </c>
      <c r="BU19">
        <v>43.75</v>
      </c>
      <c r="BV19">
        <v>15.25</v>
      </c>
      <c r="BW19">
        <v>11.25</v>
      </c>
      <c r="CA19">
        <v>20</v>
      </c>
      <c r="CB19">
        <v>137</v>
      </c>
      <c r="CC19">
        <v>13.5</v>
      </c>
      <c r="CR19">
        <v>29.5</v>
      </c>
      <c r="CX19">
        <v>57.6</v>
      </c>
      <c r="DP19">
        <v>46.5</v>
      </c>
      <c r="DQ19">
        <v>4.5</v>
      </c>
      <c r="EA19">
        <v>1.5</v>
      </c>
      <c r="EG19">
        <v>15</v>
      </c>
      <c r="EL19">
        <v>9.5</v>
      </c>
      <c r="EN19">
        <v>28</v>
      </c>
      <c r="ER19">
        <v>167</v>
      </c>
      <c r="EV19">
        <v>1675.48</v>
      </c>
    </row>
    <row r="20" spans="1:152">
      <c r="A20" t="s">
        <v>19</v>
      </c>
      <c r="AD20">
        <v>3.5</v>
      </c>
      <c r="AE20">
        <v>22.75</v>
      </c>
      <c r="AF20">
        <v>176</v>
      </c>
      <c r="AM20">
        <v>0.25</v>
      </c>
      <c r="AO20">
        <v>10</v>
      </c>
      <c r="BP20">
        <v>4</v>
      </c>
      <c r="BY20">
        <v>1.25</v>
      </c>
      <c r="CB20">
        <v>1</v>
      </c>
      <c r="CX20">
        <v>5.6</v>
      </c>
      <c r="DQ20">
        <v>4.75</v>
      </c>
      <c r="EV20">
        <v>229.1</v>
      </c>
    </row>
    <row r="21" spans="1:152">
      <c r="A21" t="s">
        <v>20</v>
      </c>
      <c r="B21">
        <v>7.5</v>
      </c>
      <c r="G21">
        <v>0.75</v>
      </c>
      <c r="I21">
        <v>20</v>
      </c>
      <c r="J21">
        <v>70</v>
      </c>
      <c r="K21">
        <v>14.75</v>
      </c>
      <c r="L21">
        <v>3.25</v>
      </c>
      <c r="O21">
        <v>10</v>
      </c>
      <c r="AB21">
        <v>26.25</v>
      </c>
      <c r="AD21">
        <v>0.75</v>
      </c>
      <c r="AO21">
        <v>1.5</v>
      </c>
      <c r="AQ21">
        <v>6.5</v>
      </c>
      <c r="AR21">
        <v>0.5</v>
      </c>
      <c r="BA21">
        <v>7</v>
      </c>
      <c r="BC21">
        <v>17.75</v>
      </c>
      <c r="BE21">
        <v>14.25</v>
      </c>
      <c r="BF21">
        <v>0.25</v>
      </c>
      <c r="BG21">
        <v>74</v>
      </c>
      <c r="BH21">
        <v>2.75</v>
      </c>
      <c r="BI21">
        <v>49.75</v>
      </c>
      <c r="BK21">
        <v>58</v>
      </c>
      <c r="BL21">
        <v>182.25</v>
      </c>
      <c r="BM21">
        <v>15</v>
      </c>
      <c r="BO21">
        <v>23.5</v>
      </c>
      <c r="BQ21">
        <v>7.5</v>
      </c>
      <c r="BR21">
        <v>0.25</v>
      </c>
      <c r="BS21">
        <v>8.25</v>
      </c>
      <c r="BX21">
        <v>3</v>
      </c>
      <c r="BY21">
        <v>3.5</v>
      </c>
      <c r="BZ21">
        <v>0.25</v>
      </c>
      <c r="CB21">
        <v>11.5</v>
      </c>
      <c r="CC21">
        <v>60.75</v>
      </c>
      <c r="CG21">
        <v>2.75</v>
      </c>
      <c r="CL21">
        <v>2.25</v>
      </c>
      <c r="CR21">
        <v>8</v>
      </c>
      <c r="CT21">
        <v>3.5</v>
      </c>
      <c r="CX21">
        <v>36</v>
      </c>
      <c r="DC21">
        <v>28.5</v>
      </c>
      <c r="DD21">
        <v>2</v>
      </c>
      <c r="DG21">
        <v>15</v>
      </c>
      <c r="DH21">
        <v>1.5</v>
      </c>
      <c r="DM21">
        <v>1</v>
      </c>
      <c r="DN21">
        <v>0.75</v>
      </c>
      <c r="DQ21">
        <v>45.5</v>
      </c>
      <c r="DS21">
        <v>1</v>
      </c>
      <c r="EA21">
        <v>7</v>
      </c>
      <c r="EB21">
        <v>2</v>
      </c>
      <c r="EC21">
        <v>8.75</v>
      </c>
      <c r="EE21">
        <v>9.75</v>
      </c>
      <c r="EH21">
        <v>1.5</v>
      </c>
      <c r="EI21">
        <v>0.75</v>
      </c>
      <c r="EJ21">
        <v>7.25</v>
      </c>
      <c r="EM21">
        <v>1.25</v>
      </c>
      <c r="EQ21">
        <v>2.5</v>
      </c>
      <c r="ER21">
        <v>140</v>
      </c>
      <c r="ET21">
        <v>0.75</v>
      </c>
      <c r="EU21">
        <v>20</v>
      </c>
      <c r="EV21">
        <v>1050.5</v>
      </c>
    </row>
    <row r="22" spans="1:152">
      <c r="A22" t="s">
        <v>21</v>
      </c>
      <c r="B22">
        <v>23.5</v>
      </c>
      <c r="I22">
        <v>1</v>
      </c>
      <c r="O22">
        <v>3.5</v>
      </c>
      <c r="P22">
        <v>1</v>
      </c>
      <c r="Y22">
        <v>2</v>
      </c>
      <c r="AD22">
        <v>20.5</v>
      </c>
      <c r="AO22">
        <v>17</v>
      </c>
      <c r="AP22">
        <v>32</v>
      </c>
      <c r="AQ22">
        <v>2.25</v>
      </c>
      <c r="AS22">
        <v>0.5</v>
      </c>
      <c r="AU22">
        <v>5.25</v>
      </c>
      <c r="AW22">
        <v>2.75</v>
      </c>
      <c r="AX22">
        <v>10</v>
      </c>
      <c r="BA22">
        <v>11.25</v>
      </c>
      <c r="BD22">
        <v>1.5</v>
      </c>
      <c r="BE22">
        <v>2</v>
      </c>
      <c r="BK22">
        <v>0.5</v>
      </c>
      <c r="BP22">
        <v>6.75</v>
      </c>
      <c r="BQ22">
        <v>41.75</v>
      </c>
      <c r="BR22">
        <v>6.25</v>
      </c>
      <c r="BS22">
        <v>1</v>
      </c>
      <c r="BT22">
        <v>1.75</v>
      </c>
      <c r="BV22">
        <v>27</v>
      </c>
      <c r="BX22">
        <v>7.25</v>
      </c>
      <c r="BY22">
        <v>2.75</v>
      </c>
      <c r="CA22">
        <v>169.75</v>
      </c>
      <c r="CB22">
        <v>426.5</v>
      </c>
      <c r="CC22">
        <v>55.25</v>
      </c>
      <c r="CE22">
        <v>219.5</v>
      </c>
      <c r="CP22">
        <v>0.5</v>
      </c>
      <c r="CR22">
        <v>8</v>
      </c>
      <c r="CX22">
        <v>57.6</v>
      </c>
      <c r="DG22">
        <v>0.5</v>
      </c>
      <c r="DL22">
        <v>1.5</v>
      </c>
      <c r="DM22">
        <v>0.25</v>
      </c>
      <c r="DP22">
        <v>226.5</v>
      </c>
      <c r="DQ22">
        <v>46.5</v>
      </c>
      <c r="DS22">
        <v>1</v>
      </c>
      <c r="DU22">
        <v>1.75</v>
      </c>
      <c r="ED22">
        <v>6.5</v>
      </c>
      <c r="EE22">
        <v>36.75</v>
      </c>
      <c r="EF22">
        <v>39</v>
      </c>
      <c r="EJ22">
        <v>48</v>
      </c>
      <c r="EO22">
        <v>35.5</v>
      </c>
      <c r="EP22">
        <v>1</v>
      </c>
      <c r="ER22">
        <v>252</v>
      </c>
      <c r="EU22">
        <v>4</v>
      </c>
      <c r="EV22">
        <v>1868.85</v>
      </c>
    </row>
    <row r="23" spans="1:152">
      <c r="A23" t="s">
        <v>22</v>
      </c>
      <c r="I23">
        <v>12.75</v>
      </c>
      <c r="V23">
        <v>0.5</v>
      </c>
      <c r="AO23">
        <v>33.25</v>
      </c>
      <c r="AQ23">
        <v>0.5</v>
      </c>
      <c r="AT23">
        <v>1</v>
      </c>
      <c r="AU23">
        <v>2.25</v>
      </c>
      <c r="AX23">
        <v>0.5</v>
      </c>
      <c r="BA23">
        <v>69.25</v>
      </c>
      <c r="BB23">
        <v>39</v>
      </c>
      <c r="BC23">
        <v>396.75</v>
      </c>
      <c r="BD23">
        <v>33.75</v>
      </c>
      <c r="BE23">
        <v>70.75</v>
      </c>
      <c r="BF23">
        <v>191</v>
      </c>
      <c r="BG23">
        <v>99.5</v>
      </c>
      <c r="BJ23">
        <v>0.75</v>
      </c>
      <c r="BK23">
        <v>14.75</v>
      </c>
      <c r="BL23">
        <v>38.5</v>
      </c>
      <c r="BM23">
        <v>0.75</v>
      </c>
      <c r="BN23">
        <v>0.5</v>
      </c>
      <c r="BO23">
        <v>1</v>
      </c>
      <c r="BP23">
        <v>4.75</v>
      </c>
      <c r="BQ23">
        <v>7.75</v>
      </c>
      <c r="BT23">
        <v>13.25</v>
      </c>
      <c r="BX23">
        <v>9.51</v>
      </c>
      <c r="BY23">
        <v>3.5</v>
      </c>
      <c r="CA23">
        <v>74.75</v>
      </c>
      <c r="CB23">
        <v>293.25</v>
      </c>
      <c r="CC23">
        <v>238.5</v>
      </c>
      <c r="CN23">
        <v>1</v>
      </c>
      <c r="CR23">
        <v>46</v>
      </c>
      <c r="CX23">
        <v>72</v>
      </c>
      <c r="DK23">
        <v>1.75</v>
      </c>
      <c r="DM23">
        <v>3.75</v>
      </c>
      <c r="DN23">
        <v>5</v>
      </c>
      <c r="DP23">
        <v>8</v>
      </c>
      <c r="DQ23">
        <v>0.75</v>
      </c>
      <c r="EF23">
        <v>109.75</v>
      </c>
      <c r="EJ23">
        <v>1.25</v>
      </c>
      <c r="EK23">
        <v>4.25</v>
      </c>
      <c r="EQ23">
        <v>4.25</v>
      </c>
      <c r="ER23">
        <v>176</v>
      </c>
      <c r="ES23">
        <v>1</v>
      </c>
      <c r="EV23">
        <v>2087.0100000000002</v>
      </c>
    </row>
    <row r="24" spans="1:152">
      <c r="A24" t="s">
        <v>23</v>
      </c>
      <c r="AD24">
        <v>54.75</v>
      </c>
      <c r="AE24">
        <v>261</v>
      </c>
      <c r="AF24">
        <v>411.5</v>
      </c>
      <c r="AH24">
        <v>64</v>
      </c>
      <c r="AI24">
        <v>13.5</v>
      </c>
      <c r="AJ24">
        <v>9.5</v>
      </c>
      <c r="AK24">
        <v>3</v>
      </c>
      <c r="AL24">
        <v>7.25</v>
      </c>
      <c r="AM24">
        <v>28.5</v>
      </c>
      <c r="AO24">
        <v>30.75</v>
      </c>
      <c r="BP24">
        <v>63.5</v>
      </c>
      <c r="BX24">
        <v>7.13</v>
      </c>
      <c r="BY24">
        <v>17</v>
      </c>
      <c r="CA24">
        <v>9</v>
      </c>
      <c r="CB24">
        <v>78.25</v>
      </c>
      <c r="CC24">
        <v>21.25</v>
      </c>
      <c r="CR24">
        <v>12</v>
      </c>
      <c r="CV24">
        <v>1.5</v>
      </c>
      <c r="CX24">
        <v>48</v>
      </c>
      <c r="DI24">
        <v>6.5</v>
      </c>
      <c r="DJ24">
        <v>7.5</v>
      </c>
      <c r="DP24">
        <v>24</v>
      </c>
      <c r="DQ24">
        <v>56.25</v>
      </c>
      <c r="DV24">
        <v>11</v>
      </c>
      <c r="DW24">
        <v>27.75</v>
      </c>
      <c r="DZ24">
        <v>18.5</v>
      </c>
      <c r="ER24">
        <v>128</v>
      </c>
      <c r="EV24">
        <v>1420.88</v>
      </c>
    </row>
    <row r="25" spans="1:152">
      <c r="A25" t="s">
        <v>24</v>
      </c>
      <c r="EV25">
        <v>0</v>
      </c>
    </row>
    <row r="26" spans="1:152">
      <c r="A26" t="s">
        <v>25</v>
      </c>
      <c r="EV26">
        <v>0</v>
      </c>
    </row>
    <row r="27" spans="1:152">
      <c r="A27" t="s">
        <v>26</v>
      </c>
      <c r="DB27">
        <v>0.75</v>
      </c>
      <c r="DF27">
        <v>3.75</v>
      </c>
      <c r="EV27">
        <v>4.5</v>
      </c>
    </row>
    <row r="28" spans="1:152">
      <c r="A28" t="s">
        <v>27</v>
      </c>
      <c r="EV28">
        <v>0</v>
      </c>
    </row>
    <row r="29" spans="1:152">
      <c r="A29" t="s">
        <v>28</v>
      </c>
      <c r="EV29">
        <v>0</v>
      </c>
    </row>
    <row r="30" spans="1:152">
      <c r="A30" t="s">
        <v>29</v>
      </c>
      <c r="M30">
        <v>125.5</v>
      </c>
      <c r="N30">
        <v>8.5</v>
      </c>
      <c r="AY30">
        <v>88</v>
      </c>
      <c r="CI30">
        <v>2.5</v>
      </c>
      <c r="DE30">
        <v>2.5</v>
      </c>
      <c r="EV30">
        <v>227</v>
      </c>
    </row>
    <row r="31" spans="1:152">
      <c r="A31" t="s">
        <v>30</v>
      </c>
      <c r="BE31">
        <v>28.5</v>
      </c>
      <c r="DM31">
        <v>14.25</v>
      </c>
      <c r="EV31">
        <v>42.75</v>
      </c>
    </row>
    <row r="32" spans="1:152">
      <c r="A32" t="s">
        <v>31</v>
      </c>
      <c r="EV32">
        <v>0</v>
      </c>
    </row>
    <row r="33" spans="1:152">
      <c r="A33" t="s">
        <v>32</v>
      </c>
      <c r="EV33">
        <v>0</v>
      </c>
    </row>
    <row r="34" spans="1:152">
      <c r="A34" t="s">
        <v>33</v>
      </c>
      <c r="B34">
        <v>510</v>
      </c>
      <c r="C34">
        <v>26.25</v>
      </c>
      <c r="D34">
        <v>156</v>
      </c>
      <c r="E34">
        <v>19.75</v>
      </c>
      <c r="F34">
        <v>503.5</v>
      </c>
      <c r="G34">
        <v>9.75</v>
      </c>
      <c r="H34">
        <v>1189.5</v>
      </c>
      <c r="I34">
        <v>49.5</v>
      </c>
      <c r="J34">
        <v>81.25</v>
      </c>
      <c r="K34">
        <v>14.75</v>
      </c>
      <c r="L34">
        <v>3.5</v>
      </c>
      <c r="M34">
        <v>163.5</v>
      </c>
      <c r="N34">
        <v>9.5</v>
      </c>
      <c r="O34">
        <v>17</v>
      </c>
      <c r="P34">
        <v>143.5</v>
      </c>
      <c r="Q34">
        <v>10</v>
      </c>
      <c r="R34">
        <v>68.5</v>
      </c>
      <c r="S34">
        <v>15.25</v>
      </c>
      <c r="T34">
        <v>0.5</v>
      </c>
      <c r="U34">
        <v>2.5</v>
      </c>
      <c r="V34">
        <v>160.75</v>
      </c>
      <c r="W34">
        <v>3.75</v>
      </c>
      <c r="X34">
        <v>133.75</v>
      </c>
      <c r="Y34">
        <v>126.25</v>
      </c>
      <c r="Z34">
        <v>125</v>
      </c>
      <c r="AA34">
        <v>24.5</v>
      </c>
      <c r="AB34">
        <v>31</v>
      </c>
      <c r="AC34">
        <v>1.25</v>
      </c>
      <c r="AD34">
        <v>348.5</v>
      </c>
      <c r="AE34">
        <v>1054.5</v>
      </c>
      <c r="AF34">
        <v>1755.75</v>
      </c>
      <c r="AG34">
        <v>268</v>
      </c>
      <c r="AH34">
        <v>152.5</v>
      </c>
      <c r="AI34">
        <v>24.75</v>
      </c>
      <c r="AJ34">
        <v>20</v>
      </c>
      <c r="AK34">
        <v>3</v>
      </c>
      <c r="AL34">
        <v>17.25</v>
      </c>
      <c r="AM34">
        <v>42.75</v>
      </c>
      <c r="AN34">
        <v>2</v>
      </c>
      <c r="AO34">
        <v>216.38</v>
      </c>
      <c r="AP34">
        <v>570.5</v>
      </c>
      <c r="AQ34">
        <v>908.75</v>
      </c>
      <c r="AR34">
        <v>265.25</v>
      </c>
      <c r="AS34">
        <v>175</v>
      </c>
      <c r="AT34">
        <v>107</v>
      </c>
      <c r="AU34">
        <v>175.75</v>
      </c>
      <c r="AV34">
        <v>0.75</v>
      </c>
      <c r="AW34">
        <v>2.75</v>
      </c>
      <c r="AX34">
        <v>31.25</v>
      </c>
      <c r="AY34">
        <v>125.5</v>
      </c>
      <c r="AZ34">
        <v>6.75</v>
      </c>
      <c r="BA34">
        <v>192</v>
      </c>
      <c r="BB34">
        <v>40.25</v>
      </c>
      <c r="BC34">
        <v>1315</v>
      </c>
      <c r="BD34">
        <v>38</v>
      </c>
      <c r="BE34">
        <v>148</v>
      </c>
      <c r="BF34">
        <v>613.25</v>
      </c>
      <c r="BG34">
        <v>270.5</v>
      </c>
      <c r="BH34">
        <v>280.75</v>
      </c>
      <c r="BI34">
        <v>49.75</v>
      </c>
      <c r="BJ34">
        <v>0.75</v>
      </c>
      <c r="BK34">
        <v>203.25</v>
      </c>
      <c r="BL34">
        <v>329.25</v>
      </c>
      <c r="BM34">
        <v>49.5</v>
      </c>
      <c r="BN34">
        <v>0.5</v>
      </c>
      <c r="BO34">
        <v>34.75</v>
      </c>
      <c r="BP34">
        <v>210.5</v>
      </c>
      <c r="BQ34">
        <v>113.38</v>
      </c>
      <c r="BR34">
        <v>6.5</v>
      </c>
      <c r="BS34">
        <v>9.25</v>
      </c>
      <c r="BT34">
        <v>243.52</v>
      </c>
      <c r="BU34">
        <v>198.25</v>
      </c>
      <c r="BV34">
        <v>43</v>
      </c>
      <c r="BW34">
        <v>41</v>
      </c>
      <c r="BX34">
        <v>57.91</v>
      </c>
      <c r="BY34">
        <v>101.25</v>
      </c>
      <c r="BZ34">
        <v>1.75</v>
      </c>
      <c r="CA34">
        <v>382.25</v>
      </c>
      <c r="CB34">
        <v>1330.5</v>
      </c>
      <c r="CC34">
        <v>813.25</v>
      </c>
      <c r="CD34">
        <v>0.75</v>
      </c>
      <c r="CE34">
        <v>405.5</v>
      </c>
      <c r="CF34">
        <v>1.5</v>
      </c>
      <c r="CG34">
        <v>2.75</v>
      </c>
      <c r="CH34">
        <v>4</v>
      </c>
      <c r="CI34">
        <v>2.5</v>
      </c>
      <c r="CJ34">
        <v>31.25</v>
      </c>
      <c r="CK34">
        <v>17</v>
      </c>
      <c r="CL34">
        <v>2.25</v>
      </c>
      <c r="CM34">
        <v>3.5</v>
      </c>
      <c r="CN34">
        <v>2.25</v>
      </c>
      <c r="CO34">
        <v>2.5</v>
      </c>
      <c r="CP34">
        <v>0.5</v>
      </c>
      <c r="CQ34">
        <v>25</v>
      </c>
      <c r="CR34">
        <v>278.25</v>
      </c>
      <c r="CS34">
        <v>7.25</v>
      </c>
      <c r="CT34">
        <v>3.5</v>
      </c>
      <c r="CU34">
        <v>0.5</v>
      </c>
      <c r="CV34">
        <v>5</v>
      </c>
      <c r="CW34">
        <v>5.75</v>
      </c>
      <c r="CX34">
        <v>802</v>
      </c>
      <c r="CY34">
        <v>4.25</v>
      </c>
      <c r="CZ34">
        <v>2.25</v>
      </c>
      <c r="DA34">
        <v>2.75</v>
      </c>
      <c r="DB34">
        <v>0.75</v>
      </c>
      <c r="DC34">
        <v>28.5</v>
      </c>
      <c r="DD34">
        <v>2</v>
      </c>
      <c r="DE34">
        <v>2.5</v>
      </c>
      <c r="DF34">
        <v>3.75</v>
      </c>
      <c r="DG34">
        <v>15.5</v>
      </c>
      <c r="DH34">
        <v>1.5</v>
      </c>
      <c r="DI34">
        <v>21</v>
      </c>
      <c r="DJ34">
        <v>8.5</v>
      </c>
      <c r="DK34">
        <v>3.5</v>
      </c>
      <c r="DL34">
        <v>2.5</v>
      </c>
      <c r="DM34">
        <v>25.5</v>
      </c>
      <c r="DN34">
        <v>14.75</v>
      </c>
      <c r="DO34">
        <v>10.75</v>
      </c>
      <c r="DP34">
        <v>922.5</v>
      </c>
      <c r="DQ34">
        <v>562</v>
      </c>
      <c r="DR34">
        <v>13.25</v>
      </c>
      <c r="DS34">
        <v>127.25</v>
      </c>
      <c r="DT34">
        <v>151.25</v>
      </c>
      <c r="DU34">
        <v>44.5</v>
      </c>
      <c r="DV34">
        <v>81</v>
      </c>
      <c r="DW34">
        <v>29.75</v>
      </c>
      <c r="DX34">
        <v>26.75</v>
      </c>
      <c r="DY34">
        <v>0.5</v>
      </c>
      <c r="DZ34">
        <v>19</v>
      </c>
      <c r="EA34">
        <v>10.75</v>
      </c>
      <c r="EB34">
        <v>4.75</v>
      </c>
      <c r="EC34">
        <v>8.75</v>
      </c>
      <c r="ED34">
        <v>6.5</v>
      </c>
      <c r="EE34">
        <v>236.75</v>
      </c>
      <c r="EF34">
        <v>148.75</v>
      </c>
      <c r="EG34">
        <v>25.75</v>
      </c>
      <c r="EH34">
        <v>1.5</v>
      </c>
      <c r="EI34">
        <v>0.75</v>
      </c>
      <c r="EJ34">
        <v>56.5</v>
      </c>
      <c r="EK34">
        <v>4.25</v>
      </c>
      <c r="EL34">
        <v>9.5</v>
      </c>
      <c r="EM34">
        <v>1.25</v>
      </c>
      <c r="EN34">
        <v>28</v>
      </c>
      <c r="EO34">
        <v>35.5</v>
      </c>
      <c r="EP34">
        <v>1</v>
      </c>
      <c r="EQ34">
        <v>18</v>
      </c>
      <c r="ER34">
        <v>2332</v>
      </c>
      <c r="ES34">
        <v>9.75</v>
      </c>
      <c r="ET34">
        <v>0.75</v>
      </c>
      <c r="EU34">
        <v>300.75</v>
      </c>
      <c r="EV34">
        <v>23965.69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V26"/>
  <sheetViews>
    <sheetView workbookViewId="0">
      <pane xSplit="1" ySplit="1" topLeftCell="EG14" activePane="bottomRight" state="frozen"/>
      <selection pane="topRight" activeCell="B1" sqref="B1"/>
      <selection pane="bottomLeft" activeCell="A2" sqref="A2"/>
      <selection pane="bottomRight" sqref="A1:XFD1048576"/>
    </sheetView>
  </sheetViews>
  <sheetFormatPr baseColWidth="10" defaultRowHeight="15"/>
  <sheetData>
    <row r="1" spans="1:152">
      <c r="A1" t="s">
        <v>0</v>
      </c>
      <c r="B1">
        <v>1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>
        <v>13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>
        <v>16</v>
      </c>
      <c r="P1" t="s">
        <v>45</v>
      </c>
      <c r="Q1" t="s">
        <v>46</v>
      </c>
      <c r="R1">
        <v>17</v>
      </c>
      <c r="S1" t="s">
        <v>47</v>
      </c>
      <c r="T1" t="s">
        <v>48</v>
      </c>
      <c r="U1" t="s">
        <v>49</v>
      </c>
      <c r="V1">
        <v>19</v>
      </c>
      <c r="W1" t="s">
        <v>50</v>
      </c>
      <c r="X1">
        <v>2</v>
      </c>
      <c r="Y1">
        <v>21</v>
      </c>
      <c r="Z1">
        <v>24</v>
      </c>
      <c r="AA1">
        <v>27</v>
      </c>
      <c r="AB1">
        <v>29</v>
      </c>
      <c r="AC1" t="s">
        <v>51</v>
      </c>
      <c r="AD1">
        <v>4</v>
      </c>
      <c r="AE1" t="s">
        <v>52</v>
      </c>
      <c r="AF1" t="s">
        <v>53</v>
      </c>
      <c r="AG1" t="s">
        <v>54</v>
      </c>
      <c r="AH1">
        <v>44</v>
      </c>
      <c r="AI1">
        <v>45</v>
      </c>
      <c r="AJ1" t="s">
        <v>55</v>
      </c>
      <c r="AK1" t="s">
        <v>56</v>
      </c>
      <c r="AL1" t="s">
        <v>57</v>
      </c>
      <c r="AM1">
        <v>47</v>
      </c>
      <c r="AN1" t="s">
        <v>58</v>
      </c>
      <c r="AO1">
        <v>49</v>
      </c>
      <c r="AP1">
        <v>5</v>
      </c>
      <c r="AQ1">
        <v>51</v>
      </c>
      <c r="AR1">
        <v>52</v>
      </c>
      <c r="AS1">
        <v>53</v>
      </c>
      <c r="AT1">
        <v>54</v>
      </c>
      <c r="AU1">
        <v>55</v>
      </c>
      <c r="AV1" t="s">
        <v>59</v>
      </c>
      <c r="AW1" t="s">
        <v>60</v>
      </c>
      <c r="AX1" t="s">
        <v>61</v>
      </c>
      <c r="AY1">
        <v>56</v>
      </c>
      <c r="AZ1" t="s">
        <v>62</v>
      </c>
      <c r="BA1">
        <v>6</v>
      </c>
      <c r="BB1">
        <v>60</v>
      </c>
      <c r="BC1">
        <v>61</v>
      </c>
      <c r="BD1">
        <v>62</v>
      </c>
      <c r="BE1">
        <v>63</v>
      </c>
      <c r="BF1">
        <v>64</v>
      </c>
      <c r="BG1" t="s">
        <v>63</v>
      </c>
      <c r="BH1" t="s">
        <v>64</v>
      </c>
      <c r="BI1" t="s">
        <v>65</v>
      </c>
      <c r="BJ1">
        <v>67</v>
      </c>
      <c r="BK1">
        <v>68</v>
      </c>
      <c r="BL1">
        <v>69</v>
      </c>
      <c r="BM1" t="s">
        <v>66</v>
      </c>
      <c r="BN1" t="s">
        <v>67</v>
      </c>
      <c r="BO1" t="s">
        <v>68</v>
      </c>
      <c r="BP1">
        <v>71</v>
      </c>
      <c r="BQ1">
        <v>72</v>
      </c>
      <c r="BR1" t="s">
        <v>69</v>
      </c>
      <c r="BS1" t="s">
        <v>70</v>
      </c>
      <c r="BT1">
        <v>73</v>
      </c>
      <c r="BU1" t="s">
        <v>71</v>
      </c>
      <c r="BV1">
        <v>74</v>
      </c>
      <c r="BW1">
        <v>75</v>
      </c>
      <c r="BX1">
        <v>76</v>
      </c>
      <c r="BY1" t="s">
        <v>72</v>
      </c>
      <c r="BZ1" t="s">
        <v>73</v>
      </c>
      <c r="CA1">
        <v>77</v>
      </c>
      <c r="CB1">
        <v>78</v>
      </c>
      <c r="CC1">
        <v>79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82</v>
      </c>
      <c r="CM1" t="s">
        <v>83</v>
      </c>
      <c r="CN1" t="s">
        <v>84</v>
      </c>
      <c r="CO1" t="s">
        <v>85</v>
      </c>
      <c r="CP1" t="s">
        <v>86</v>
      </c>
      <c r="CQ1" t="s">
        <v>87</v>
      </c>
      <c r="CR1" t="s">
        <v>88</v>
      </c>
      <c r="CS1" t="s">
        <v>89</v>
      </c>
      <c r="CT1" t="s">
        <v>90</v>
      </c>
      <c r="CU1" t="s">
        <v>91</v>
      </c>
      <c r="CV1" t="s">
        <v>92</v>
      </c>
      <c r="CW1" t="s">
        <v>93</v>
      </c>
      <c r="CX1" t="s">
        <v>94</v>
      </c>
      <c r="CY1" t="s">
        <v>95</v>
      </c>
      <c r="CZ1" t="s">
        <v>96</v>
      </c>
      <c r="DA1" t="s">
        <v>97</v>
      </c>
      <c r="DB1" t="s">
        <v>98</v>
      </c>
      <c r="DC1" t="s">
        <v>99</v>
      </c>
      <c r="DD1" t="s">
        <v>100</v>
      </c>
      <c r="DE1" t="s">
        <v>101</v>
      </c>
      <c r="DF1" t="s">
        <v>102</v>
      </c>
      <c r="DG1" t="s">
        <v>103</v>
      </c>
      <c r="DH1" t="s">
        <v>104</v>
      </c>
      <c r="DI1" t="s">
        <v>105</v>
      </c>
      <c r="DJ1" t="s">
        <v>106</v>
      </c>
      <c r="DK1" t="s">
        <v>107</v>
      </c>
      <c r="DL1" t="s">
        <v>108</v>
      </c>
      <c r="DM1" t="s">
        <v>109</v>
      </c>
      <c r="DN1" t="s">
        <v>110</v>
      </c>
      <c r="DO1" t="s">
        <v>111</v>
      </c>
      <c r="DP1" t="s">
        <v>112</v>
      </c>
      <c r="DQ1" t="s">
        <v>113</v>
      </c>
      <c r="DR1" t="s">
        <v>114</v>
      </c>
      <c r="DS1" t="s">
        <v>115</v>
      </c>
      <c r="DT1" t="s">
        <v>116</v>
      </c>
      <c r="DU1" t="s">
        <v>117</v>
      </c>
      <c r="DV1" t="s">
        <v>118</v>
      </c>
      <c r="DW1" t="s">
        <v>119</v>
      </c>
      <c r="DX1" t="s">
        <v>120</v>
      </c>
      <c r="DY1" t="s">
        <v>121</v>
      </c>
      <c r="DZ1" t="s">
        <v>122</v>
      </c>
      <c r="EA1" t="s">
        <v>123</v>
      </c>
      <c r="EB1" t="s">
        <v>124</v>
      </c>
      <c r="EC1" t="s">
        <v>125</v>
      </c>
      <c r="ED1" t="s">
        <v>126</v>
      </c>
      <c r="EE1" t="s">
        <v>127</v>
      </c>
      <c r="EF1" t="s">
        <v>128</v>
      </c>
      <c r="EG1" t="s">
        <v>129</v>
      </c>
      <c r="EH1" t="s">
        <v>130</v>
      </c>
      <c r="EI1" t="s">
        <v>131</v>
      </c>
      <c r="EJ1" t="s">
        <v>132</v>
      </c>
      <c r="EK1" t="s">
        <v>133</v>
      </c>
      <c r="EL1" t="s">
        <v>134</v>
      </c>
      <c r="EM1" t="s">
        <v>135</v>
      </c>
      <c r="EN1" t="s">
        <v>136</v>
      </c>
      <c r="EO1" t="s">
        <v>137</v>
      </c>
      <c r="EP1" t="s">
        <v>138</v>
      </c>
      <c r="EQ1" t="s">
        <v>139</v>
      </c>
      <c r="ER1" t="s">
        <v>140</v>
      </c>
      <c r="ES1" t="s">
        <v>141</v>
      </c>
      <c r="ET1" t="s">
        <v>142</v>
      </c>
      <c r="EU1" t="s">
        <v>143</v>
      </c>
      <c r="EV1" t="s">
        <v>33</v>
      </c>
    </row>
    <row r="2" spans="1:152">
      <c r="A2" t="s">
        <v>1</v>
      </c>
      <c r="W2">
        <v>3.75</v>
      </c>
      <c r="AM2">
        <v>1.25</v>
      </c>
      <c r="AQ2">
        <v>50</v>
      </c>
      <c r="AR2">
        <v>20.5</v>
      </c>
      <c r="AS2">
        <v>1.75</v>
      </c>
      <c r="BC2">
        <v>16.25</v>
      </c>
      <c r="BE2">
        <v>1.5</v>
      </c>
      <c r="BF2">
        <v>9.75</v>
      </c>
      <c r="BG2">
        <v>1.5</v>
      </c>
      <c r="BL2">
        <v>5.75</v>
      </c>
      <c r="BM2">
        <v>10.5</v>
      </c>
      <c r="BQ2">
        <v>1.25</v>
      </c>
      <c r="BT2">
        <v>10.51</v>
      </c>
      <c r="BU2">
        <v>139</v>
      </c>
      <c r="CB2">
        <v>1.5</v>
      </c>
      <c r="CC2">
        <v>4.25</v>
      </c>
      <c r="CX2">
        <v>7.2</v>
      </c>
      <c r="DM2">
        <v>2</v>
      </c>
      <c r="EV2">
        <f>SUM(B2:EU2)</f>
        <v>288.20999999999998</v>
      </c>
    </row>
    <row r="3" spans="1:152">
      <c r="A3" t="s">
        <v>2</v>
      </c>
      <c r="I3">
        <v>1.75</v>
      </c>
      <c r="M3">
        <v>0.25</v>
      </c>
      <c r="N3">
        <v>0.5</v>
      </c>
      <c r="O3">
        <v>0.25</v>
      </c>
      <c r="AO3">
        <v>9</v>
      </c>
      <c r="AQ3">
        <v>41.75</v>
      </c>
      <c r="AR3">
        <v>4.75</v>
      </c>
      <c r="AS3">
        <v>10.5</v>
      </c>
      <c r="AT3">
        <v>4</v>
      </c>
      <c r="AU3">
        <v>1.75</v>
      </c>
      <c r="AY3">
        <v>0.75</v>
      </c>
      <c r="BA3">
        <v>103.5</v>
      </c>
      <c r="BB3">
        <v>1.25</v>
      </c>
      <c r="BC3">
        <v>700.75</v>
      </c>
      <c r="BD3">
        <v>2.75</v>
      </c>
      <c r="BE3">
        <v>27.75</v>
      </c>
      <c r="BF3">
        <v>106.5</v>
      </c>
      <c r="BG3">
        <v>15.5</v>
      </c>
      <c r="BK3">
        <v>49.25</v>
      </c>
      <c r="BL3">
        <v>55.25</v>
      </c>
      <c r="BO3">
        <v>4.5</v>
      </c>
      <c r="BP3">
        <v>10.25</v>
      </c>
      <c r="BQ3">
        <v>15.25</v>
      </c>
      <c r="BT3">
        <v>14.25</v>
      </c>
      <c r="BX3">
        <v>4.5</v>
      </c>
      <c r="BY3">
        <v>15.25</v>
      </c>
      <c r="BZ3">
        <v>1.25</v>
      </c>
      <c r="CA3">
        <v>9</v>
      </c>
      <c r="CB3">
        <v>37</v>
      </c>
      <c r="CC3">
        <v>59.5</v>
      </c>
      <c r="CD3">
        <v>0.75</v>
      </c>
      <c r="CN3">
        <v>1.25</v>
      </c>
      <c r="CR3">
        <v>8</v>
      </c>
      <c r="CX3">
        <v>57.6</v>
      </c>
      <c r="DM3">
        <v>0.5</v>
      </c>
      <c r="DN3">
        <v>2</v>
      </c>
      <c r="DP3">
        <v>32.5</v>
      </c>
      <c r="DQ3">
        <v>55.5</v>
      </c>
      <c r="EQ3">
        <v>2.75</v>
      </c>
      <c r="ER3">
        <v>197.5</v>
      </c>
      <c r="EU3">
        <v>3</v>
      </c>
      <c r="EV3">
        <f t="shared" ref="EV3:EV26" si="0">SUM(B3:EU3)</f>
        <v>1669.85</v>
      </c>
    </row>
    <row r="4" spans="1:152">
      <c r="A4" t="s">
        <v>3</v>
      </c>
      <c r="B4">
        <v>104.5</v>
      </c>
      <c r="C4">
        <v>13</v>
      </c>
      <c r="D4">
        <v>49</v>
      </c>
      <c r="E4">
        <v>10.5</v>
      </c>
      <c r="F4">
        <v>121.75</v>
      </c>
      <c r="H4">
        <v>311.25</v>
      </c>
      <c r="O4">
        <v>1.75</v>
      </c>
      <c r="P4">
        <v>1</v>
      </c>
      <c r="Q4">
        <v>4</v>
      </c>
      <c r="V4">
        <v>5.5</v>
      </c>
      <c r="Y4">
        <v>5</v>
      </c>
      <c r="AA4">
        <v>9.5</v>
      </c>
      <c r="BK4">
        <v>0.25</v>
      </c>
      <c r="BP4">
        <v>19</v>
      </c>
      <c r="BT4">
        <v>6.25</v>
      </c>
      <c r="BY4">
        <v>2.25</v>
      </c>
      <c r="CB4">
        <v>28.5</v>
      </c>
      <c r="CC4">
        <v>31.5</v>
      </c>
      <c r="CE4">
        <v>122</v>
      </c>
      <c r="CJ4">
        <v>18.25</v>
      </c>
      <c r="CK4">
        <v>6.25</v>
      </c>
      <c r="CM4">
        <v>3.5</v>
      </c>
      <c r="CQ4">
        <v>7.75</v>
      </c>
      <c r="CR4">
        <v>4</v>
      </c>
      <c r="CS4">
        <v>0.75</v>
      </c>
      <c r="CX4">
        <v>49.6</v>
      </c>
      <c r="DI4">
        <v>4.75</v>
      </c>
      <c r="DP4">
        <v>29</v>
      </c>
      <c r="DQ4">
        <v>36</v>
      </c>
      <c r="DR4">
        <v>2.5</v>
      </c>
      <c r="DS4">
        <v>111.25</v>
      </c>
      <c r="DT4">
        <v>104</v>
      </c>
      <c r="DU4">
        <v>30.75</v>
      </c>
      <c r="DV4">
        <v>4</v>
      </c>
      <c r="ER4">
        <v>142.5</v>
      </c>
      <c r="ES4">
        <v>8.75</v>
      </c>
      <c r="EV4">
        <f t="shared" si="0"/>
        <v>1410.1</v>
      </c>
    </row>
    <row r="5" spans="1:152">
      <c r="A5" t="s">
        <v>4</v>
      </c>
      <c r="F5">
        <v>31.5</v>
      </c>
      <c r="H5">
        <v>119.25</v>
      </c>
      <c r="BP5">
        <v>2.25</v>
      </c>
      <c r="CB5">
        <v>1</v>
      </c>
      <c r="CC5">
        <v>16</v>
      </c>
      <c r="CX5">
        <v>4</v>
      </c>
      <c r="DP5">
        <v>32</v>
      </c>
      <c r="DQ5">
        <v>7</v>
      </c>
      <c r="ER5">
        <v>36</v>
      </c>
      <c r="EU5">
        <v>4</v>
      </c>
      <c r="EV5">
        <f t="shared" si="0"/>
        <v>253</v>
      </c>
    </row>
    <row r="6" spans="1:152">
      <c r="A6" t="s">
        <v>5</v>
      </c>
      <c r="AD6">
        <v>21.25</v>
      </c>
      <c r="AE6">
        <v>234.5</v>
      </c>
      <c r="AF6">
        <v>442</v>
      </c>
      <c r="AH6">
        <v>23.5</v>
      </c>
      <c r="AI6">
        <v>0.5</v>
      </c>
      <c r="AJ6">
        <v>3</v>
      </c>
      <c r="AO6">
        <v>0.25</v>
      </c>
      <c r="BP6">
        <v>0.5</v>
      </c>
      <c r="BQ6">
        <v>7.13</v>
      </c>
      <c r="BY6">
        <v>24</v>
      </c>
      <c r="CA6">
        <v>1.5</v>
      </c>
      <c r="CB6">
        <v>38.25</v>
      </c>
      <c r="CC6">
        <v>29.75</v>
      </c>
      <c r="CR6">
        <v>37</v>
      </c>
      <c r="CX6">
        <v>41.6</v>
      </c>
      <c r="DQ6">
        <v>42.5</v>
      </c>
      <c r="ER6">
        <v>90.5</v>
      </c>
      <c r="EU6">
        <v>30</v>
      </c>
      <c r="EV6">
        <f t="shared" si="0"/>
        <v>1067.73</v>
      </c>
    </row>
    <row r="7" spans="1:152">
      <c r="A7" t="s">
        <v>6</v>
      </c>
      <c r="AD7">
        <v>27</v>
      </c>
      <c r="AE7">
        <v>387.75</v>
      </c>
      <c r="AF7">
        <v>353.5</v>
      </c>
      <c r="AG7">
        <v>268</v>
      </c>
      <c r="AI7">
        <v>3</v>
      </c>
      <c r="AJ7">
        <v>2</v>
      </c>
      <c r="AL7">
        <v>7.5</v>
      </c>
      <c r="AM7">
        <v>2.75</v>
      </c>
      <c r="AN7">
        <v>2</v>
      </c>
      <c r="AO7">
        <v>50.5</v>
      </c>
      <c r="BP7">
        <v>45</v>
      </c>
      <c r="BX7">
        <v>5.63</v>
      </c>
      <c r="CB7">
        <v>43.75</v>
      </c>
      <c r="CC7">
        <v>0.25</v>
      </c>
      <c r="CR7">
        <v>12</v>
      </c>
      <c r="CX7">
        <v>50.4</v>
      </c>
      <c r="DP7">
        <v>16</v>
      </c>
      <c r="DQ7">
        <v>53</v>
      </c>
      <c r="ER7">
        <v>131.5</v>
      </c>
      <c r="EV7">
        <f t="shared" si="0"/>
        <v>1461.5300000000002</v>
      </c>
    </row>
    <row r="8" spans="1:152">
      <c r="A8" t="s">
        <v>8</v>
      </c>
      <c r="AP8">
        <v>19</v>
      </c>
      <c r="AQ8">
        <v>414</v>
      </c>
      <c r="AR8">
        <v>155</v>
      </c>
      <c r="AS8">
        <v>53.75</v>
      </c>
      <c r="AT8">
        <v>50.5</v>
      </c>
      <c r="AU8">
        <v>138.5</v>
      </c>
      <c r="AX8">
        <v>12.25</v>
      </c>
      <c r="AY8">
        <v>8.25</v>
      </c>
      <c r="BQ8">
        <v>3</v>
      </c>
      <c r="BT8">
        <v>4.5</v>
      </c>
      <c r="BU8">
        <v>15.5</v>
      </c>
      <c r="CB8">
        <v>23.5</v>
      </c>
      <c r="CC8">
        <v>1.5</v>
      </c>
      <c r="CR8">
        <v>19.5</v>
      </c>
      <c r="CX8">
        <v>36</v>
      </c>
      <c r="DM8">
        <v>3</v>
      </c>
      <c r="DQ8">
        <v>14.25</v>
      </c>
      <c r="ER8">
        <v>70</v>
      </c>
      <c r="EU8">
        <v>7</v>
      </c>
      <c r="EV8">
        <f t="shared" si="0"/>
        <v>1049</v>
      </c>
    </row>
    <row r="9" spans="1:152">
      <c r="A9" t="s">
        <v>9</v>
      </c>
      <c r="B9">
        <v>294.25</v>
      </c>
      <c r="G9">
        <v>1.25</v>
      </c>
      <c r="H9">
        <v>171</v>
      </c>
      <c r="I9">
        <v>2</v>
      </c>
      <c r="J9">
        <v>0.25</v>
      </c>
      <c r="M9">
        <v>37.75</v>
      </c>
      <c r="N9">
        <v>0.5</v>
      </c>
      <c r="O9">
        <v>1.5</v>
      </c>
      <c r="P9">
        <v>19.75</v>
      </c>
      <c r="R9">
        <v>2.5</v>
      </c>
      <c r="S9">
        <v>2</v>
      </c>
      <c r="T9">
        <v>0.5</v>
      </c>
      <c r="U9">
        <v>2.5</v>
      </c>
      <c r="V9">
        <v>100.5</v>
      </c>
      <c r="X9">
        <v>16.25</v>
      </c>
      <c r="Y9">
        <v>11</v>
      </c>
      <c r="AA9">
        <v>0.75</v>
      </c>
      <c r="BP9">
        <v>18.5</v>
      </c>
      <c r="BT9">
        <v>3.75</v>
      </c>
      <c r="BW9">
        <v>0.5</v>
      </c>
      <c r="BX9">
        <v>11.51</v>
      </c>
      <c r="CA9">
        <v>32.5</v>
      </c>
      <c r="CB9">
        <v>80.25</v>
      </c>
      <c r="CC9">
        <v>73</v>
      </c>
      <c r="CF9">
        <v>1.25</v>
      </c>
      <c r="CJ9">
        <v>13</v>
      </c>
      <c r="CK9">
        <v>10.75</v>
      </c>
      <c r="CO9">
        <v>2.5</v>
      </c>
      <c r="CQ9">
        <v>2.75</v>
      </c>
      <c r="CR9">
        <v>49.75</v>
      </c>
      <c r="CS9">
        <v>5.75</v>
      </c>
      <c r="CU9">
        <v>0.5</v>
      </c>
      <c r="CW9">
        <v>5.75</v>
      </c>
      <c r="CX9">
        <v>43.2</v>
      </c>
      <c r="DK9">
        <v>1.75</v>
      </c>
      <c r="DL9">
        <v>1</v>
      </c>
      <c r="DN9">
        <v>1.75</v>
      </c>
      <c r="DP9">
        <v>15.5</v>
      </c>
      <c r="DQ9">
        <v>43.75</v>
      </c>
      <c r="DR9">
        <v>1</v>
      </c>
      <c r="DS9">
        <v>8.75</v>
      </c>
      <c r="DT9">
        <v>10.25</v>
      </c>
      <c r="DU9">
        <v>12</v>
      </c>
      <c r="EQ9">
        <v>0.5</v>
      </c>
      <c r="ER9">
        <v>128.5</v>
      </c>
      <c r="EV9">
        <f t="shared" si="0"/>
        <v>1244.21</v>
      </c>
    </row>
    <row r="10" spans="1:152">
      <c r="A10" t="s">
        <v>10</v>
      </c>
      <c r="B10">
        <v>37.5</v>
      </c>
      <c r="I10">
        <v>12</v>
      </c>
      <c r="J10">
        <v>11</v>
      </c>
      <c r="L10">
        <v>0.25</v>
      </c>
      <c r="AC10">
        <v>1.25</v>
      </c>
      <c r="AD10">
        <v>0.25</v>
      </c>
      <c r="AO10">
        <v>4.75</v>
      </c>
      <c r="AS10">
        <v>1.5</v>
      </c>
      <c r="AT10">
        <v>1</v>
      </c>
      <c r="AU10">
        <v>0.5</v>
      </c>
      <c r="BA10">
        <v>1</v>
      </c>
      <c r="BC10">
        <v>183.5</v>
      </c>
      <c r="BE10">
        <v>0.25</v>
      </c>
      <c r="BF10">
        <v>305.75</v>
      </c>
      <c r="BH10">
        <v>278</v>
      </c>
      <c r="BK10">
        <v>80.5</v>
      </c>
      <c r="BL10">
        <v>47.5</v>
      </c>
      <c r="BM10">
        <v>15.5</v>
      </c>
      <c r="BO10">
        <v>5.75</v>
      </c>
      <c r="BQ10">
        <v>21.5</v>
      </c>
      <c r="BT10">
        <v>52.63</v>
      </c>
      <c r="BX10">
        <v>1.75</v>
      </c>
      <c r="BY10">
        <v>2.5</v>
      </c>
      <c r="BZ10">
        <v>0.25</v>
      </c>
      <c r="CB10">
        <v>14.5</v>
      </c>
      <c r="CC10">
        <v>67.25</v>
      </c>
      <c r="CH10">
        <v>4</v>
      </c>
      <c r="CR10">
        <v>8</v>
      </c>
      <c r="CX10">
        <v>50.4</v>
      </c>
      <c r="CY10">
        <v>1.5</v>
      </c>
      <c r="CZ10">
        <v>2.25</v>
      </c>
      <c r="DA10">
        <v>2.75</v>
      </c>
      <c r="DJ10">
        <v>1</v>
      </c>
      <c r="DN10">
        <v>5.25</v>
      </c>
      <c r="DO10">
        <v>10.75</v>
      </c>
      <c r="DP10">
        <v>12</v>
      </c>
      <c r="DQ10">
        <v>52.25</v>
      </c>
      <c r="DV10">
        <v>1</v>
      </c>
      <c r="DZ10">
        <v>0.5</v>
      </c>
      <c r="EA10">
        <v>2.25</v>
      </c>
      <c r="EG10">
        <v>10.75</v>
      </c>
      <c r="EQ10">
        <v>8</v>
      </c>
      <c r="ER10">
        <v>144</v>
      </c>
      <c r="EV10">
        <f t="shared" si="0"/>
        <v>1464.7800000000002</v>
      </c>
    </row>
    <row r="11" spans="1:152">
      <c r="A11" t="s">
        <v>11</v>
      </c>
      <c r="AI11">
        <v>0.75</v>
      </c>
      <c r="AO11">
        <v>3.75</v>
      </c>
      <c r="AP11">
        <v>33.5</v>
      </c>
      <c r="AQ11">
        <v>393.75</v>
      </c>
      <c r="AR11">
        <v>84.5</v>
      </c>
      <c r="AS11">
        <v>107</v>
      </c>
      <c r="AT11">
        <v>50.5</v>
      </c>
      <c r="AU11">
        <v>27.5</v>
      </c>
      <c r="AV11">
        <v>0.75</v>
      </c>
      <c r="AX11">
        <v>3.5</v>
      </c>
      <c r="AY11">
        <v>28.5</v>
      </c>
      <c r="AZ11">
        <v>1.25</v>
      </c>
      <c r="BE11">
        <v>0.5</v>
      </c>
      <c r="BQ11">
        <v>3.5</v>
      </c>
      <c r="BT11">
        <v>2.25</v>
      </c>
      <c r="BV11">
        <v>0.75</v>
      </c>
      <c r="BX11">
        <v>2</v>
      </c>
      <c r="BY11">
        <v>1.75</v>
      </c>
      <c r="CB11">
        <v>22</v>
      </c>
      <c r="CC11">
        <v>29</v>
      </c>
      <c r="CX11">
        <v>36</v>
      </c>
      <c r="DM11">
        <v>0.75</v>
      </c>
      <c r="DP11">
        <v>121</v>
      </c>
      <c r="DQ11">
        <v>8.25</v>
      </c>
      <c r="ER11">
        <v>80</v>
      </c>
      <c r="EV11">
        <f t="shared" si="0"/>
        <v>1043</v>
      </c>
    </row>
    <row r="12" spans="1:152">
      <c r="A12" t="s">
        <v>12</v>
      </c>
      <c r="AD12">
        <v>16.5</v>
      </c>
      <c r="AE12">
        <v>52.75</v>
      </c>
      <c r="AF12">
        <v>218.75</v>
      </c>
      <c r="AH12">
        <v>35.25</v>
      </c>
      <c r="AI12">
        <v>4</v>
      </c>
      <c r="AM12">
        <v>2</v>
      </c>
      <c r="AO12">
        <v>6.75</v>
      </c>
      <c r="BP12">
        <v>12</v>
      </c>
      <c r="BX12">
        <v>5.63</v>
      </c>
      <c r="CA12">
        <v>8.25</v>
      </c>
      <c r="CB12">
        <v>7.5</v>
      </c>
      <c r="CC12">
        <v>12.5</v>
      </c>
      <c r="CR12">
        <v>12.5</v>
      </c>
      <c r="CV12">
        <v>3.5</v>
      </c>
      <c r="CX12">
        <v>14.4</v>
      </c>
      <c r="DQ12">
        <v>1</v>
      </c>
      <c r="ER12">
        <v>10</v>
      </c>
      <c r="EV12">
        <f t="shared" si="0"/>
        <v>423.28</v>
      </c>
    </row>
    <row r="13" spans="1:152">
      <c r="A13" t="s">
        <v>13</v>
      </c>
      <c r="AD13">
        <v>152.5</v>
      </c>
      <c r="AJ13">
        <v>3.75</v>
      </c>
      <c r="AM13">
        <v>8</v>
      </c>
      <c r="AO13">
        <v>0.25</v>
      </c>
      <c r="BP13">
        <v>2</v>
      </c>
      <c r="CA13">
        <v>56.75</v>
      </c>
      <c r="CB13">
        <v>47.5</v>
      </c>
      <c r="CC13">
        <v>2</v>
      </c>
      <c r="CE13">
        <v>64</v>
      </c>
      <c r="CX13">
        <v>20</v>
      </c>
      <c r="DP13">
        <v>16</v>
      </c>
      <c r="DQ13">
        <v>17.25</v>
      </c>
      <c r="DT13">
        <v>3</v>
      </c>
      <c r="DW13">
        <v>1.25</v>
      </c>
      <c r="DX13">
        <v>26.75</v>
      </c>
      <c r="DY13">
        <v>0.5</v>
      </c>
      <c r="EB13">
        <v>2.75</v>
      </c>
      <c r="EE13">
        <v>190.25</v>
      </c>
      <c r="ER13">
        <v>76</v>
      </c>
      <c r="EV13">
        <f t="shared" si="0"/>
        <v>690.5</v>
      </c>
    </row>
    <row r="14" spans="1:152">
      <c r="A14" t="s">
        <v>14</v>
      </c>
      <c r="B14">
        <v>10.5</v>
      </c>
      <c r="D14">
        <v>28</v>
      </c>
      <c r="F14">
        <v>251.25</v>
      </c>
      <c r="H14">
        <v>304</v>
      </c>
      <c r="P14">
        <v>33</v>
      </c>
      <c r="R14">
        <v>57</v>
      </c>
      <c r="V14">
        <v>38.5</v>
      </c>
      <c r="BP14">
        <v>9.5</v>
      </c>
      <c r="BW14">
        <v>29.25</v>
      </c>
      <c r="CB14">
        <v>9.25</v>
      </c>
      <c r="CC14">
        <v>47.25</v>
      </c>
      <c r="CQ14">
        <v>14.5</v>
      </c>
      <c r="CR14">
        <v>12</v>
      </c>
      <c r="CX14">
        <v>39.6</v>
      </c>
      <c r="DI14">
        <v>1</v>
      </c>
      <c r="DP14">
        <v>20</v>
      </c>
      <c r="DQ14">
        <v>23.75</v>
      </c>
      <c r="DS14">
        <v>5.25</v>
      </c>
      <c r="DT14">
        <v>15.75</v>
      </c>
      <c r="DV14">
        <v>50</v>
      </c>
      <c r="ER14">
        <v>144</v>
      </c>
      <c r="EV14">
        <f t="shared" si="0"/>
        <v>1143.3499999999999</v>
      </c>
    </row>
    <row r="15" spans="1:152">
      <c r="A15" t="s">
        <v>15</v>
      </c>
      <c r="AD15">
        <v>51.5</v>
      </c>
      <c r="AE15">
        <v>79.5</v>
      </c>
      <c r="AF15">
        <v>154</v>
      </c>
      <c r="AH15">
        <v>29.75</v>
      </c>
      <c r="AI15">
        <v>3</v>
      </c>
      <c r="AJ15">
        <v>1.75</v>
      </c>
      <c r="AL15">
        <v>2.5</v>
      </c>
      <c r="AO15">
        <v>48.63</v>
      </c>
      <c r="BP15">
        <v>2</v>
      </c>
      <c r="BY15">
        <v>27.5</v>
      </c>
      <c r="CA15">
        <v>0.75</v>
      </c>
      <c r="CB15">
        <v>16</v>
      </c>
      <c r="CC15">
        <v>15.25</v>
      </c>
      <c r="CX15">
        <v>39.200000000000003</v>
      </c>
      <c r="DP15">
        <v>279.75</v>
      </c>
      <c r="DQ15">
        <v>7.75</v>
      </c>
      <c r="DW15">
        <v>0.75</v>
      </c>
      <c r="ER15">
        <v>114</v>
      </c>
      <c r="EU15">
        <v>228.75</v>
      </c>
      <c r="EV15">
        <f t="shared" si="0"/>
        <v>1102.33</v>
      </c>
    </row>
    <row r="16" spans="1:152">
      <c r="A16" t="s">
        <v>17</v>
      </c>
      <c r="B16">
        <v>28.5</v>
      </c>
      <c r="C16">
        <v>13.25</v>
      </c>
      <c r="D16">
        <v>79</v>
      </c>
      <c r="E16">
        <v>9.25</v>
      </c>
      <c r="F16">
        <v>99</v>
      </c>
      <c r="G16">
        <v>7.75</v>
      </c>
      <c r="H16">
        <v>284</v>
      </c>
      <c r="P16">
        <v>88.75</v>
      </c>
      <c r="Q16">
        <v>6</v>
      </c>
      <c r="R16">
        <v>9</v>
      </c>
      <c r="S16">
        <v>13.25</v>
      </c>
      <c r="V16">
        <v>15.75</v>
      </c>
      <c r="BP16">
        <v>10.5</v>
      </c>
      <c r="BT16">
        <v>40</v>
      </c>
      <c r="CB16">
        <v>12.5</v>
      </c>
      <c r="CC16">
        <v>35</v>
      </c>
      <c r="CF16">
        <v>0.25</v>
      </c>
      <c r="CR16">
        <v>12</v>
      </c>
      <c r="CS16">
        <v>0.75</v>
      </c>
      <c r="CX16">
        <v>36</v>
      </c>
      <c r="CY16">
        <v>2.75</v>
      </c>
      <c r="DI16">
        <v>8.75</v>
      </c>
      <c r="DP16">
        <v>43.75</v>
      </c>
      <c r="DQ16">
        <v>41.5</v>
      </c>
      <c r="DR16">
        <v>9.75</v>
      </c>
      <c r="DT16">
        <v>18.25</v>
      </c>
      <c r="DV16">
        <v>15</v>
      </c>
      <c r="ER16">
        <v>104.5</v>
      </c>
      <c r="EU16">
        <v>4</v>
      </c>
      <c r="EV16">
        <f t="shared" si="0"/>
        <v>1048.75</v>
      </c>
    </row>
    <row r="17" spans="1:152">
      <c r="A17" t="s">
        <v>18</v>
      </c>
      <c r="B17">
        <v>3.75</v>
      </c>
      <c r="X17">
        <v>117.5</v>
      </c>
      <c r="Y17">
        <v>108.25</v>
      </c>
      <c r="Z17">
        <v>125</v>
      </c>
      <c r="AA17">
        <v>14.25</v>
      </c>
      <c r="AB17">
        <v>4.75</v>
      </c>
      <c r="AE17">
        <v>16.25</v>
      </c>
      <c r="AP17">
        <v>486</v>
      </c>
      <c r="AX17">
        <v>5</v>
      </c>
      <c r="AZ17">
        <v>5.5</v>
      </c>
      <c r="BE17">
        <v>2.5</v>
      </c>
      <c r="BG17">
        <v>80</v>
      </c>
      <c r="BM17">
        <v>7.75</v>
      </c>
      <c r="BQ17">
        <v>4.75</v>
      </c>
      <c r="BT17">
        <v>94.38</v>
      </c>
      <c r="BU17">
        <v>43.75</v>
      </c>
      <c r="BV17">
        <v>15.25</v>
      </c>
      <c r="BW17">
        <v>11.25</v>
      </c>
      <c r="CA17">
        <v>20</v>
      </c>
      <c r="CB17">
        <v>137</v>
      </c>
      <c r="CC17">
        <v>13.5</v>
      </c>
      <c r="CR17">
        <v>29.5</v>
      </c>
      <c r="CX17">
        <v>57.6</v>
      </c>
      <c r="DP17">
        <v>46.5</v>
      </c>
      <c r="DQ17">
        <v>4.5</v>
      </c>
      <c r="EA17">
        <v>1.5</v>
      </c>
      <c r="EG17">
        <v>15</v>
      </c>
      <c r="EL17">
        <v>9.5</v>
      </c>
      <c r="EN17">
        <v>28</v>
      </c>
      <c r="ER17">
        <v>167</v>
      </c>
      <c r="EV17">
        <f t="shared" si="0"/>
        <v>1675.48</v>
      </c>
    </row>
    <row r="18" spans="1:152">
      <c r="A18" t="s">
        <v>19</v>
      </c>
      <c r="AD18">
        <v>3.5</v>
      </c>
      <c r="AE18">
        <v>22.75</v>
      </c>
      <c r="AF18">
        <v>176</v>
      </c>
      <c r="AM18">
        <v>0.25</v>
      </c>
      <c r="AO18">
        <v>10</v>
      </c>
      <c r="BP18">
        <v>4</v>
      </c>
      <c r="BY18">
        <v>1.25</v>
      </c>
      <c r="CB18">
        <v>1</v>
      </c>
      <c r="CX18">
        <v>5.6</v>
      </c>
      <c r="DQ18">
        <v>4.75</v>
      </c>
      <c r="EV18">
        <f t="shared" si="0"/>
        <v>229.1</v>
      </c>
    </row>
    <row r="19" spans="1:152">
      <c r="A19" t="s">
        <v>20</v>
      </c>
      <c r="B19">
        <v>7.5</v>
      </c>
      <c r="G19">
        <v>0.75</v>
      </c>
      <c r="I19">
        <v>20</v>
      </c>
      <c r="J19">
        <v>70</v>
      </c>
      <c r="K19">
        <v>14.75</v>
      </c>
      <c r="L19">
        <v>3.25</v>
      </c>
      <c r="O19">
        <v>10</v>
      </c>
      <c r="AB19">
        <v>26.25</v>
      </c>
      <c r="AD19">
        <v>0.75</v>
      </c>
      <c r="AO19">
        <v>1.5</v>
      </c>
      <c r="AQ19">
        <v>6.5</v>
      </c>
      <c r="AR19">
        <v>0.5</v>
      </c>
      <c r="BA19">
        <v>7</v>
      </c>
      <c r="BC19">
        <v>17.75</v>
      </c>
      <c r="BE19">
        <v>14.25</v>
      </c>
      <c r="BF19">
        <v>0.25</v>
      </c>
      <c r="BG19">
        <v>74</v>
      </c>
      <c r="BH19">
        <v>2.75</v>
      </c>
      <c r="BI19">
        <v>49.75</v>
      </c>
      <c r="BK19">
        <v>58</v>
      </c>
      <c r="BL19">
        <v>182.25</v>
      </c>
      <c r="BM19">
        <v>15</v>
      </c>
      <c r="BO19">
        <v>23.5</v>
      </c>
      <c r="BQ19">
        <v>7.5</v>
      </c>
      <c r="BR19">
        <v>0.25</v>
      </c>
      <c r="BS19">
        <v>8.25</v>
      </c>
      <c r="BX19">
        <v>3</v>
      </c>
      <c r="BY19">
        <v>3.5</v>
      </c>
      <c r="BZ19">
        <v>0.25</v>
      </c>
      <c r="CB19">
        <v>11.5</v>
      </c>
      <c r="CC19">
        <v>60.75</v>
      </c>
      <c r="CG19">
        <v>2.75</v>
      </c>
      <c r="CL19">
        <v>2.25</v>
      </c>
      <c r="CR19">
        <v>8</v>
      </c>
      <c r="CT19">
        <v>3.5</v>
      </c>
      <c r="CX19">
        <v>36</v>
      </c>
      <c r="DC19">
        <v>28.5</v>
      </c>
      <c r="DD19">
        <v>2</v>
      </c>
      <c r="DG19">
        <v>15</v>
      </c>
      <c r="DH19">
        <v>1.5</v>
      </c>
      <c r="DM19">
        <v>1</v>
      </c>
      <c r="DN19">
        <v>0.75</v>
      </c>
      <c r="DQ19">
        <v>45.5</v>
      </c>
      <c r="DS19">
        <v>1</v>
      </c>
      <c r="EA19">
        <v>7</v>
      </c>
      <c r="EB19">
        <v>2</v>
      </c>
      <c r="EC19">
        <v>8.75</v>
      </c>
      <c r="EE19">
        <v>9.75</v>
      </c>
      <c r="EH19">
        <v>1.5</v>
      </c>
      <c r="EI19">
        <v>0.75</v>
      </c>
      <c r="EJ19">
        <v>7.25</v>
      </c>
      <c r="EM19">
        <v>1.25</v>
      </c>
      <c r="EQ19">
        <v>2.5</v>
      </c>
      <c r="ER19">
        <v>140</v>
      </c>
      <c r="ET19">
        <v>0.75</v>
      </c>
      <c r="EU19">
        <v>20</v>
      </c>
      <c r="EV19">
        <f t="shared" si="0"/>
        <v>1050.5</v>
      </c>
    </row>
    <row r="20" spans="1:152">
      <c r="A20" t="s">
        <v>21</v>
      </c>
      <c r="B20">
        <v>23.5</v>
      </c>
      <c r="I20">
        <v>1</v>
      </c>
      <c r="O20">
        <v>3.5</v>
      </c>
      <c r="P20">
        <v>1</v>
      </c>
      <c r="Y20">
        <v>2</v>
      </c>
      <c r="AD20">
        <v>20.5</v>
      </c>
      <c r="AO20">
        <v>17</v>
      </c>
      <c r="AP20">
        <v>32</v>
      </c>
      <c r="AQ20">
        <v>2.25</v>
      </c>
      <c r="AS20">
        <v>0.5</v>
      </c>
      <c r="AU20">
        <v>5.25</v>
      </c>
      <c r="AW20">
        <v>2.75</v>
      </c>
      <c r="AX20">
        <v>10</v>
      </c>
      <c r="BA20">
        <v>11.25</v>
      </c>
      <c r="BD20">
        <v>1.5</v>
      </c>
      <c r="BE20">
        <v>2</v>
      </c>
      <c r="BK20">
        <v>0.5</v>
      </c>
      <c r="BP20">
        <v>6.75</v>
      </c>
      <c r="BQ20">
        <v>41.75</v>
      </c>
      <c r="BR20">
        <v>6.25</v>
      </c>
      <c r="BS20">
        <v>1</v>
      </c>
      <c r="BT20">
        <v>1.75</v>
      </c>
      <c r="BV20">
        <v>27</v>
      </c>
      <c r="BX20">
        <v>7.25</v>
      </c>
      <c r="BY20">
        <v>2.75</v>
      </c>
      <c r="CA20">
        <v>169.75</v>
      </c>
      <c r="CB20">
        <v>426.5</v>
      </c>
      <c r="CC20">
        <v>55.25</v>
      </c>
      <c r="CE20">
        <v>219.5</v>
      </c>
      <c r="CP20">
        <v>0.5</v>
      </c>
      <c r="CR20">
        <v>8</v>
      </c>
      <c r="CX20">
        <v>57.6</v>
      </c>
      <c r="DG20">
        <v>0.5</v>
      </c>
      <c r="DL20">
        <v>1.5</v>
      </c>
      <c r="DM20">
        <v>0.25</v>
      </c>
      <c r="DP20">
        <v>226.5</v>
      </c>
      <c r="DQ20">
        <v>46.5</v>
      </c>
      <c r="DS20">
        <v>1</v>
      </c>
      <c r="DU20">
        <v>1.75</v>
      </c>
      <c r="ED20">
        <v>6.5</v>
      </c>
      <c r="EE20">
        <v>36.75</v>
      </c>
      <c r="EF20">
        <v>39</v>
      </c>
      <c r="EJ20">
        <v>48</v>
      </c>
      <c r="EO20">
        <v>35.5</v>
      </c>
      <c r="EP20">
        <v>1</v>
      </c>
      <c r="ER20">
        <v>252</v>
      </c>
      <c r="EU20">
        <v>4</v>
      </c>
      <c r="EV20">
        <f t="shared" si="0"/>
        <v>1868.85</v>
      </c>
    </row>
    <row r="21" spans="1:152">
      <c r="A21" t="s">
        <v>22</v>
      </c>
      <c r="I21">
        <v>12.75</v>
      </c>
      <c r="V21">
        <v>0.5</v>
      </c>
      <c r="AO21">
        <v>33.25</v>
      </c>
      <c r="AQ21">
        <v>0.5</v>
      </c>
      <c r="AT21">
        <v>1</v>
      </c>
      <c r="AU21">
        <v>2.25</v>
      </c>
      <c r="AX21">
        <v>0.5</v>
      </c>
      <c r="BA21">
        <v>69.25</v>
      </c>
      <c r="BB21">
        <v>39</v>
      </c>
      <c r="BC21">
        <v>396.75</v>
      </c>
      <c r="BD21">
        <v>33.75</v>
      </c>
      <c r="BE21">
        <v>70.75</v>
      </c>
      <c r="BF21">
        <v>191</v>
      </c>
      <c r="BG21">
        <v>99.5</v>
      </c>
      <c r="BJ21">
        <v>0.75</v>
      </c>
      <c r="BK21">
        <v>14.75</v>
      </c>
      <c r="BL21">
        <v>38.5</v>
      </c>
      <c r="BM21">
        <v>0.75</v>
      </c>
      <c r="BN21">
        <v>0.5</v>
      </c>
      <c r="BO21">
        <v>1</v>
      </c>
      <c r="BP21">
        <v>4.75</v>
      </c>
      <c r="BQ21">
        <v>7.75</v>
      </c>
      <c r="BT21">
        <v>13.25</v>
      </c>
      <c r="BX21">
        <v>9.51</v>
      </c>
      <c r="BY21">
        <v>3.5</v>
      </c>
      <c r="CA21">
        <v>74.75</v>
      </c>
      <c r="CB21">
        <v>293.25</v>
      </c>
      <c r="CC21">
        <v>238.5</v>
      </c>
      <c r="CN21">
        <v>1</v>
      </c>
      <c r="CR21">
        <v>46</v>
      </c>
      <c r="CX21">
        <v>72</v>
      </c>
      <c r="DK21">
        <v>1.75</v>
      </c>
      <c r="DM21">
        <v>3.75</v>
      </c>
      <c r="DN21">
        <v>5</v>
      </c>
      <c r="DP21">
        <v>8</v>
      </c>
      <c r="DQ21">
        <v>0.75</v>
      </c>
      <c r="EF21">
        <v>109.75</v>
      </c>
      <c r="EJ21">
        <v>1.25</v>
      </c>
      <c r="EK21">
        <v>4.25</v>
      </c>
      <c r="EQ21">
        <v>4.25</v>
      </c>
      <c r="ER21">
        <v>176</v>
      </c>
      <c r="ES21">
        <v>1</v>
      </c>
      <c r="EV21">
        <f t="shared" si="0"/>
        <v>2087.0100000000002</v>
      </c>
    </row>
    <row r="22" spans="1:152">
      <c r="A22" t="s">
        <v>23</v>
      </c>
      <c r="AD22">
        <v>54.75</v>
      </c>
      <c r="AE22">
        <v>261</v>
      </c>
      <c r="AF22">
        <v>411.5</v>
      </c>
      <c r="AH22">
        <v>64</v>
      </c>
      <c r="AI22">
        <v>13.5</v>
      </c>
      <c r="AJ22">
        <v>9.5</v>
      </c>
      <c r="AK22">
        <v>3</v>
      </c>
      <c r="AL22">
        <v>7.25</v>
      </c>
      <c r="AM22">
        <v>28.5</v>
      </c>
      <c r="AO22">
        <v>30.75</v>
      </c>
      <c r="BP22">
        <v>63.5</v>
      </c>
      <c r="BX22">
        <v>7.13</v>
      </c>
      <c r="BY22">
        <v>17</v>
      </c>
      <c r="CA22">
        <v>9</v>
      </c>
      <c r="CB22">
        <v>78.25</v>
      </c>
      <c r="CC22">
        <v>21.25</v>
      </c>
      <c r="CR22">
        <v>12</v>
      </c>
      <c r="CV22">
        <v>1.5</v>
      </c>
      <c r="CX22">
        <v>48</v>
      </c>
      <c r="DI22">
        <v>6.5</v>
      </c>
      <c r="DJ22">
        <v>7.5</v>
      </c>
      <c r="DP22">
        <v>24</v>
      </c>
      <c r="DQ22">
        <v>56.25</v>
      </c>
      <c r="DV22">
        <v>11</v>
      </c>
      <c r="DW22">
        <v>27.75</v>
      </c>
      <c r="DZ22">
        <v>18.5</v>
      </c>
      <c r="ER22">
        <v>128</v>
      </c>
      <c r="EV22">
        <f t="shared" si="0"/>
        <v>1420.88</v>
      </c>
    </row>
    <row r="23" spans="1:152">
      <c r="A23" t="s">
        <v>26</v>
      </c>
      <c r="DB23">
        <v>0.75</v>
      </c>
      <c r="DF23">
        <v>3.75</v>
      </c>
      <c r="EV23">
        <f t="shared" si="0"/>
        <v>4.5</v>
      </c>
    </row>
    <row r="24" spans="1:152">
      <c r="A24" t="s">
        <v>29</v>
      </c>
      <c r="M24">
        <v>125.5</v>
      </c>
      <c r="N24">
        <v>8.5</v>
      </c>
      <c r="AY24">
        <v>88</v>
      </c>
      <c r="CI24">
        <v>2.5</v>
      </c>
      <c r="DE24">
        <v>2.5</v>
      </c>
      <c r="EV24">
        <f t="shared" si="0"/>
        <v>227</v>
      </c>
    </row>
    <row r="25" spans="1:152">
      <c r="A25" t="s">
        <v>30</v>
      </c>
      <c r="BE25">
        <v>28.5</v>
      </c>
      <c r="DM25">
        <v>14.25</v>
      </c>
      <c r="EV25">
        <f t="shared" si="0"/>
        <v>42.75</v>
      </c>
    </row>
    <row r="26" spans="1:152">
      <c r="A26" t="s">
        <v>33</v>
      </c>
      <c r="B26">
        <f>SUM(B2:B25)</f>
        <v>510</v>
      </c>
      <c r="C26">
        <f t="shared" ref="C26:BN26" si="1">SUM(C2:C25)</f>
        <v>26.25</v>
      </c>
      <c r="D26">
        <f t="shared" si="1"/>
        <v>156</v>
      </c>
      <c r="E26">
        <f t="shared" si="1"/>
        <v>19.75</v>
      </c>
      <c r="F26">
        <f t="shared" si="1"/>
        <v>503.5</v>
      </c>
      <c r="G26">
        <f t="shared" si="1"/>
        <v>9.75</v>
      </c>
      <c r="H26">
        <f t="shared" si="1"/>
        <v>1189.5</v>
      </c>
      <c r="I26">
        <f t="shared" si="1"/>
        <v>49.5</v>
      </c>
      <c r="J26">
        <f t="shared" si="1"/>
        <v>81.25</v>
      </c>
      <c r="K26">
        <f t="shared" si="1"/>
        <v>14.75</v>
      </c>
      <c r="L26">
        <f t="shared" si="1"/>
        <v>3.5</v>
      </c>
      <c r="M26">
        <f t="shared" si="1"/>
        <v>163.5</v>
      </c>
      <c r="N26">
        <f t="shared" si="1"/>
        <v>9.5</v>
      </c>
      <c r="O26">
        <f t="shared" si="1"/>
        <v>17</v>
      </c>
      <c r="P26">
        <f t="shared" si="1"/>
        <v>143.5</v>
      </c>
      <c r="Q26">
        <f t="shared" si="1"/>
        <v>10</v>
      </c>
      <c r="R26">
        <f t="shared" si="1"/>
        <v>68.5</v>
      </c>
      <c r="S26">
        <f t="shared" si="1"/>
        <v>15.25</v>
      </c>
      <c r="T26">
        <f t="shared" si="1"/>
        <v>0.5</v>
      </c>
      <c r="U26">
        <f t="shared" si="1"/>
        <v>2.5</v>
      </c>
      <c r="V26">
        <f t="shared" si="1"/>
        <v>160.75</v>
      </c>
      <c r="W26">
        <f t="shared" si="1"/>
        <v>3.75</v>
      </c>
      <c r="X26">
        <f t="shared" si="1"/>
        <v>133.75</v>
      </c>
      <c r="Y26">
        <f t="shared" si="1"/>
        <v>126.25</v>
      </c>
      <c r="Z26">
        <f t="shared" si="1"/>
        <v>125</v>
      </c>
      <c r="AA26">
        <f t="shared" si="1"/>
        <v>24.5</v>
      </c>
      <c r="AB26">
        <f t="shared" si="1"/>
        <v>31</v>
      </c>
      <c r="AC26">
        <f t="shared" si="1"/>
        <v>1.25</v>
      </c>
      <c r="AD26">
        <f t="shared" si="1"/>
        <v>348.5</v>
      </c>
      <c r="AE26">
        <f t="shared" si="1"/>
        <v>1054.5</v>
      </c>
      <c r="AF26">
        <f t="shared" si="1"/>
        <v>1755.75</v>
      </c>
      <c r="AG26">
        <f t="shared" si="1"/>
        <v>268</v>
      </c>
      <c r="AH26">
        <f t="shared" si="1"/>
        <v>152.5</v>
      </c>
      <c r="AI26">
        <f t="shared" si="1"/>
        <v>24.75</v>
      </c>
      <c r="AJ26">
        <f t="shared" si="1"/>
        <v>20</v>
      </c>
      <c r="AK26">
        <f t="shared" si="1"/>
        <v>3</v>
      </c>
      <c r="AL26">
        <f t="shared" si="1"/>
        <v>17.25</v>
      </c>
      <c r="AM26">
        <f t="shared" si="1"/>
        <v>42.75</v>
      </c>
      <c r="AN26">
        <f t="shared" si="1"/>
        <v>2</v>
      </c>
      <c r="AO26">
        <f t="shared" si="1"/>
        <v>216.38</v>
      </c>
      <c r="AP26">
        <f t="shared" si="1"/>
        <v>570.5</v>
      </c>
      <c r="AQ26">
        <f t="shared" si="1"/>
        <v>908.75</v>
      </c>
      <c r="AR26">
        <f t="shared" si="1"/>
        <v>265.25</v>
      </c>
      <c r="AS26">
        <f t="shared" si="1"/>
        <v>175</v>
      </c>
      <c r="AT26">
        <f t="shared" si="1"/>
        <v>107</v>
      </c>
      <c r="AU26">
        <f t="shared" si="1"/>
        <v>175.75</v>
      </c>
      <c r="AV26">
        <f t="shared" si="1"/>
        <v>0.75</v>
      </c>
      <c r="AW26">
        <f t="shared" si="1"/>
        <v>2.75</v>
      </c>
      <c r="AX26">
        <f t="shared" si="1"/>
        <v>31.25</v>
      </c>
      <c r="AY26">
        <f t="shared" si="1"/>
        <v>125.5</v>
      </c>
      <c r="AZ26">
        <f t="shared" si="1"/>
        <v>6.75</v>
      </c>
      <c r="BA26">
        <f t="shared" si="1"/>
        <v>192</v>
      </c>
      <c r="BB26">
        <f t="shared" si="1"/>
        <v>40.25</v>
      </c>
      <c r="BC26">
        <f t="shared" si="1"/>
        <v>1315</v>
      </c>
      <c r="BD26">
        <f t="shared" si="1"/>
        <v>38</v>
      </c>
      <c r="BE26">
        <f t="shared" si="1"/>
        <v>148</v>
      </c>
      <c r="BF26">
        <f t="shared" si="1"/>
        <v>613.25</v>
      </c>
      <c r="BG26">
        <f t="shared" si="1"/>
        <v>270.5</v>
      </c>
      <c r="BH26">
        <f t="shared" si="1"/>
        <v>280.75</v>
      </c>
      <c r="BI26">
        <f t="shared" si="1"/>
        <v>49.75</v>
      </c>
      <c r="BJ26">
        <f t="shared" si="1"/>
        <v>0.75</v>
      </c>
      <c r="BK26">
        <f t="shared" si="1"/>
        <v>203.25</v>
      </c>
      <c r="BL26">
        <f t="shared" si="1"/>
        <v>329.25</v>
      </c>
      <c r="BM26">
        <f t="shared" si="1"/>
        <v>49.5</v>
      </c>
      <c r="BN26">
        <f t="shared" si="1"/>
        <v>0.5</v>
      </c>
      <c r="BO26">
        <f t="shared" ref="BO26:DZ26" si="2">SUM(BO2:BO25)</f>
        <v>34.75</v>
      </c>
      <c r="BP26">
        <f t="shared" si="2"/>
        <v>210.5</v>
      </c>
      <c r="BQ26">
        <f t="shared" si="2"/>
        <v>113.38</v>
      </c>
      <c r="BR26">
        <f t="shared" si="2"/>
        <v>6.5</v>
      </c>
      <c r="BS26">
        <f t="shared" si="2"/>
        <v>9.25</v>
      </c>
      <c r="BT26">
        <f t="shared" si="2"/>
        <v>243.51999999999998</v>
      </c>
      <c r="BU26">
        <f t="shared" si="2"/>
        <v>198.25</v>
      </c>
      <c r="BV26">
        <f t="shared" si="2"/>
        <v>43</v>
      </c>
      <c r="BW26">
        <f t="shared" si="2"/>
        <v>41</v>
      </c>
      <c r="BX26">
        <f t="shared" si="2"/>
        <v>57.91</v>
      </c>
      <c r="BY26">
        <f t="shared" si="2"/>
        <v>101.25</v>
      </c>
      <c r="BZ26">
        <f t="shared" si="2"/>
        <v>1.75</v>
      </c>
      <c r="CA26">
        <f t="shared" si="2"/>
        <v>382.25</v>
      </c>
      <c r="CB26">
        <f t="shared" si="2"/>
        <v>1330.5</v>
      </c>
      <c r="CC26">
        <f t="shared" si="2"/>
        <v>813.25</v>
      </c>
      <c r="CD26">
        <f t="shared" si="2"/>
        <v>0.75</v>
      </c>
      <c r="CE26">
        <f t="shared" si="2"/>
        <v>405.5</v>
      </c>
      <c r="CF26">
        <f t="shared" si="2"/>
        <v>1.5</v>
      </c>
      <c r="CG26">
        <f t="shared" si="2"/>
        <v>2.75</v>
      </c>
      <c r="CH26">
        <f t="shared" si="2"/>
        <v>4</v>
      </c>
      <c r="CI26">
        <f t="shared" si="2"/>
        <v>2.5</v>
      </c>
      <c r="CJ26">
        <f t="shared" si="2"/>
        <v>31.25</v>
      </c>
      <c r="CK26">
        <f t="shared" si="2"/>
        <v>17</v>
      </c>
      <c r="CL26">
        <f t="shared" si="2"/>
        <v>2.25</v>
      </c>
      <c r="CM26">
        <f t="shared" si="2"/>
        <v>3.5</v>
      </c>
      <c r="CN26">
        <f t="shared" si="2"/>
        <v>2.25</v>
      </c>
      <c r="CO26">
        <f t="shared" si="2"/>
        <v>2.5</v>
      </c>
      <c r="CP26">
        <f t="shared" si="2"/>
        <v>0.5</v>
      </c>
      <c r="CQ26">
        <f t="shared" si="2"/>
        <v>25</v>
      </c>
      <c r="CR26">
        <f t="shared" si="2"/>
        <v>278.25</v>
      </c>
      <c r="CS26">
        <f t="shared" si="2"/>
        <v>7.25</v>
      </c>
      <c r="CT26">
        <f t="shared" si="2"/>
        <v>3.5</v>
      </c>
      <c r="CU26">
        <f t="shared" si="2"/>
        <v>0.5</v>
      </c>
      <c r="CV26">
        <f t="shared" si="2"/>
        <v>5</v>
      </c>
      <c r="CW26">
        <f t="shared" si="2"/>
        <v>5.75</v>
      </c>
      <c r="CX26">
        <f t="shared" si="2"/>
        <v>802.00000000000011</v>
      </c>
      <c r="CY26">
        <f t="shared" si="2"/>
        <v>4.25</v>
      </c>
      <c r="CZ26">
        <f t="shared" si="2"/>
        <v>2.25</v>
      </c>
      <c r="DA26">
        <f t="shared" si="2"/>
        <v>2.75</v>
      </c>
      <c r="DB26">
        <f t="shared" si="2"/>
        <v>0.75</v>
      </c>
      <c r="DC26">
        <f t="shared" si="2"/>
        <v>28.5</v>
      </c>
      <c r="DD26">
        <f t="shared" si="2"/>
        <v>2</v>
      </c>
      <c r="DE26">
        <f t="shared" si="2"/>
        <v>2.5</v>
      </c>
      <c r="DF26">
        <f t="shared" si="2"/>
        <v>3.75</v>
      </c>
      <c r="DG26">
        <f t="shared" si="2"/>
        <v>15.5</v>
      </c>
      <c r="DH26">
        <f t="shared" si="2"/>
        <v>1.5</v>
      </c>
      <c r="DI26">
        <f t="shared" si="2"/>
        <v>21</v>
      </c>
      <c r="DJ26">
        <f t="shared" si="2"/>
        <v>8.5</v>
      </c>
      <c r="DK26">
        <f t="shared" si="2"/>
        <v>3.5</v>
      </c>
      <c r="DL26">
        <f t="shared" si="2"/>
        <v>2.5</v>
      </c>
      <c r="DM26">
        <f t="shared" si="2"/>
        <v>25.5</v>
      </c>
      <c r="DN26">
        <f t="shared" si="2"/>
        <v>14.75</v>
      </c>
      <c r="DO26">
        <f t="shared" si="2"/>
        <v>10.75</v>
      </c>
      <c r="DP26">
        <f t="shared" si="2"/>
        <v>922.5</v>
      </c>
      <c r="DQ26">
        <f t="shared" si="2"/>
        <v>562</v>
      </c>
      <c r="DR26">
        <f t="shared" si="2"/>
        <v>13.25</v>
      </c>
      <c r="DS26">
        <f t="shared" si="2"/>
        <v>127.25</v>
      </c>
      <c r="DT26">
        <f t="shared" si="2"/>
        <v>151.25</v>
      </c>
      <c r="DU26">
        <f t="shared" si="2"/>
        <v>44.5</v>
      </c>
      <c r="DV26">
        <f t="shared" si="2"/>
        <v>81</v>
      </c>
      <c r="DW26">
        <f t="shared" si="2"/>
        <v>29.75</v>
      </c>
      <c r="DX26">
        <f t="shared" si="2"/>
        <v>26.75</v>
      </c>
      <c r="DY26">
        <f t="shared" si="2"/>
        <v>0.5</v>
      </c>
      <c r="DZ26">
        <f t="shared" si="2"/>
        <v>19</v>
      </c>
      <c r="EA26">
        <f t="shared" ref="EA26:EU26" si="3">SUM(EA2:EA25)</f>
        <v>10.75</v>
      </c>
      <c r="EB26">
        <f t="shared" si="3"/>
        <v>4.75</v>
      </c>
      <c r="EC26">
        <f t="shared" si="3"/>
        <v>8.75</v>
      </c>
      <c r="ED26">
        <f t="shared" si="3"/>
        <v>6.5</v>
      </c>
      <c r="EE26">
        <f t="shared" si="3"/>
        <v>236.75</v>
      </c>
      <c r="EF26">
        <f t="shared" si="3"/>
        <v>148.75</v>
      </c>
      <c r="EG26">
        <f t="shared" si="3"/>
        <v>25.75</v>
      </c>
      <c r="EH26">
        <f t="shared" si="3"/>
        <v>1.5</v>
      </c>
      <c r="EI26">
        <f t="shared" si="3"/>
        <v>0.75</v>
      </c>
      <c r="EJ26">
        <f t="shared" si="3"/>
        <v>56.5</v>
      </c>
      <c r="EK26">
        <f t="shared" si="3"/>
        <v>4.25</v>
      </c>
      <c r="EL26">
        <f t="shared" si="3"/>
        <v>9.5</v>
      </c>
      <c r="EM26">
        <f t="shared" si="3"/>
        <v>1.25</v>
      </c>
      <c r="EN26">
        <f t="shared" si="3"/>
        <v>28</v>
      </c>
      <c r="EO26">
        <f t="shared" si="3"/>
        <v>35.5</v>
      </c>
      <c r="EP26">
        <f t="shared" si="3"/>
        <v>1</v>
      </c>
      <c r="EQ26">
        <f t="shared" si="3"/>
        <v>18</v>
      </c>
      <c r="ER26">
        <f t="shared" si="3"/>
        <v>2332</v>
      </c>
      <c r="ES26">
        <f t="shared" si="3"/>
        <v>9.75</v>
      </c>
      <c r="ET26">
        <f t="shared" si="3"/>
        <v>0.75</v>
      </c>
      <c r="EU26">
        <f t="shared" si="3"/>
        <v>300.75</v>
      </c>
      <c r="EV26">
        <f t="shared" si="0"/>
        <v>23965.690000000002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K79"/>
  <sheetViews>
    <sheetView tabSelected="1" workbookViewId="0">
      <pane xSplit="1" ySplit="1" topLeftCell="B14" activePane="bottomRight" state="frozen"/>
      <selection pane="topRight" activeCell="B1" sqref="B1"/>
      <selection pane="bottomLeft" activeCell="A2" sqref="A2"/>
      <selection pane="bottomRight" activeCell="Q39" sqref="Q39"/>
    </sheetView>
  </sheetViews>
  <sheetFormatPr baseColWidth="10" defaultRowHeight="15"/>
  <cols>
    <col min="1" max="1" width="11.42578125" style="1"/>
    <col min="10" max="10" width="11.5703125" bestFit="1" customWidth="1"/>
    <col min="165" max="165" width="13" customWidth="1"/>
  </cols>
  <sheetData>
    <row r="1" spans="1:167" s="1" customFormat="1">
      <c r="A1" s="1" t="s">
        <v>0</v>
      </c>
      <c r="B1" s="1">
        <v>1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>
        <v>13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>
        <v>16</v>
      </c>
      <c r="P1" s="1" t="s">
        <v>45</v>
      </c>
      <c r="Q1" s="1" t="s">
        <v>46</v>
      </c>
      <c r="R1" s="1">
        <v>17</v>
      </c>
      <c r="S1" s="1" t="s">
        <v>47</v>
      </c>
      <c r="T1" s="1" t="s">
        <v>48</v>
      </c>
      <c r="U1" s="1" t="s">
        <v>49</v>
      </c>
      <c r="V1" s="1">
        <v>19</v>
      </c>
      <c r="W1" s="1" t="s">
        <v>50</v>
      </c>
      <c r="X1" s="1">
        <v>2</v>
      </c>
      <c r="Y1" s="1">
        <v>21</v>
      </c>
      <c r="Z1" s="1">
        <v>24</v>
      </c>
      <c r="AA1" s="1">
        <v>27</v>
      </c>
      <c r="AB1" s="1">
        <v>29</v>
      </c>
      <c r="AC1" s="1" t="s">
        <v>51</v>
      </c>
      <c r="AD1" s="1">
        <v>4</v>
      </c>
      <c r="AE1" s="1" t="s">
        <v>52</v>
      </c>
      <c r="AF1" s="1" t="s">
        <v>53</v>
      </c>
      <c r="AG1" s="1" t="s">
        <v>54</v>
      </c>
      <c r="AH1" s="1">
        <v>44</v>
      </c>
      <c r="AI1" s="1">
        <v>45</v>
      </c>
      <c r="AJ1" s="1" t="s">
        <v>55</v>
      </c>
      <c r="AK1" s="1" t="s">
        <v>56</v>
      </c>
      <c r="AL1" s="1" t="s">
        <v>57</v>
      </c>
      <c r="AM1" s="1">
        <v>47</v>
      </c>
      <c r="AN1" s="1" t="s">
        <v>58</v>
      </c>
      <c r="AO1" s="1">
        <v>49</v>
      </c>
      <c r="AP1" s="1">
        <v>5</v>
      </c>
      <c r="AQ1" s="1">
        <v>51</v>
      </c>
      <c r="AR1" s="1">
        <v>52</v>
      </c>
      <c r="AS1" s="1">
        <v>53</v>
      </c>
      <c r="AT1" s="1">
        <v>54</v>
      </c>
      <c r="AU1" s="1">
        <v>55</v>
      </c>
      <c r="AV1" s="1" t="s">
        <v>59</v>
      </c>
      <c r="AW1" s="1" t="s">
        <v>60</v>
      </c>
      <c r="AX1" s="1" t="s">
        <v>61</v>
      </c>
      <c r="AY1" s="1">
        <v>56</v>
      </c>
      <c r="AZ1" s="1" t="s">
        <v>62</v>
      </c>
      <c r="BA1" s="1">
        <v>6</v>
      </c>
      <c r="BB1" s="1">
        <v>60</v>
      </c>
      <c r="BC1" s="1">
        <v>61</v>
      </c>
      <c r="BD1" s="1">
        <v>62</v>
      </c>
      <c r="BE1" s="1">
        <v>63</v>
      </c>
      <c r="BF1" s="1">
        <v>64</v>
      </c>
      <c r="BG1" s="1" t="s">
        <v>63</v>
      </c>
      <c r="BH1" s="1" t="s">
        <v>64</v>
      </c>
      <c r="BI1" s="1" t="s">
        <v>65</v>
      </c>
      <c r="BJ1" s="1">
        <v>67</v>
      </c>
      <c r="BK1" s="1">
        <v>68</v>
      </c>
      <c r="BL1" s="1">
        <v>69</v>
      </c>
      <c r="BM1" s="1" t="s">
        <v>66</v>
      </c>
      <c r="BN1" s="1" t="s">
        <v>67</v>
      </c>
      <c r="BO1" s="1" t="s">
        <v>68</v>
      </c>
      <c r="BP1" s="1">
        <v>71</v>
      </c>
      <c r="BQ1" s="1">
        <v>72</v>
      </c>
      <c r="BR1" s="1" t="s">
        <v>69</v>
      </c>
      <c r="BS1" s="1" t="s">
        <v>70</v>
      </c>
      <c r="BT1" s="1">
        <v>73</v>
      </c>
      <c r="BU1" s="1" t="s">
        <v>71</v>
      </c>
      <c r="BV1" s="1">
        <v>74</v>
      </c>
      <c r="BW1" s="1">
        <v>75</v>
      </c>
      <c r="BX1" s="1">
        <v>76</v>
      </c>
      <c r="BY1" s="1" t="s">
        <v>72</v>
      </c>
      <c r="BZ1" s="1" t="s">
        <v>73</v>
      </c>
      <c r="CA1" s="1">
        <v>77</v>
      </c>
      <c r="CB1" s="1">
        <v>78</v>
      </c>
      <c r="CC1" s="1">
        <v>79</v>
      </c>
      <c r="CD1" s="1" t="s">
        <v>74</v>
      </c>
      <c r="CE1" s="1" t="s">
        <v>75</v>
      </c>
      <c r="CF1" s="1" t="s">
        <v>76</v>
      </c>
      <c r="CG1" s="1" t="s">
        <v>77</v>
      </c>
      <c r="CH1" s="1" t="s">
        <v>78</v>
      </c>
      <c r="CI1" s="1" t="s">
        <v>79</v>
      </c>
      <c r="CJ1" s="1" t="s">
        <v>80</v>
      </c>
      <c r="CK1" s="1" t="s">
        <v>81</v>
      </c>
      <c r="CL1" s="1" t="s">
        <v>82</v>
      </c>
      <c r="CM1" s="1" t="s">
        <v>83</v>
      </c>
      <c r="CN1" s="1" t="s">
        <v>84</v>
      </c>
      <c r="CO1" s="1" t="s">
        <v>85</v>
      </c>
      <c r="CP1" s="1" t="s">
        <v>86</v>
      </c>
      <c r="CQ1" s="1" t="s">
        <v>87</v>
      </c>
      <c r="CR1" s="1" t="s">
        <v>88</v>
      </c>
      <c r="CS1" s="1" t="s">
        <v>89</v>
      </c>
      <c r="CT1" s="1" t="s">
        <v>90</v>
      </c>
      <c r="CU1" s="1" t="s">
        <v>91</v>
      </c>
      <c r="CV1" s="1" t="s">
        <v>92</v>
      </c>
      <c r="CW1" s="1" t="s">
        <v>93</v>
      </c>
      <c r="CX1" s="1" t="s">
        <v>94</v>
      </c>
      <c r="CY1" s="1" t="s">
        <v>95</v>
      </c>
      <c r="CZ1" s="1" t="s">
        <v>96</v>
      </c>
      <c r="DA1" s="1" t="s">
        <v>97</v>
      </c>
      <c r="DB1" s="1" t="s">
        <v>98</v>
      </c>
      <c r="DC1" s="1" t="s">
        <v>99</v>
      </c>
      <c r="DD1" s="1" t="s">
        <v>100</v>
      </c>
      <c r="DE1" s="1" t="s">
        <v>101</v>
      </c>
      <c r="DF1" s="1" t="s">
        <v>102</v>
      </c>
      <c r="DG1" s="1" t="s">
        <v>103</v>
      </c>
      <c r="DH1" s="1" t="s">
        <v>104</v>
      </c>
      <c r="DI1" s="1" t="s">
        <v>105</v>
      </c>
      <c r="DJ1" s="1" t="s">
        <v>106</v>
      </c>
      <c r="DK1" s="1" t="s">
        <v>107</v>
      </c>
      <c r="DL1" s="1" t="s">
        <v>108</v>
      </c>
      <c r="DM1" s="1" t="s">
        <v>109</v>
      </c>
      <c r="DN1" s="1" t="s">
        <v>110</v>
      </c>
      <c r="DO1" s="1" t="s">
        <v>111</v>
      </c>
      <c r="DP1" s="1" t="s">
        <v>112</v>
      </c>
      <c r="DQ1" s="1" t="s">
        <v>113</v>
      </c>
      <c r="DR1" s="1" t="s">
        <v>114</v>
      </c>
      <c r="DS1" s="1" t="s">
        <v>115</v>
      </c>
      <c r="DT1" s="1" t="s">
        <v>116</v>
      </c>
      <c r="DU1" s="1" t="s">
        <v>117</v>
      </c>
      <c r="DV1" s="1" t="s">
        <v>118</v>
      </c>
      <c r="DW1" s="1" t="s">
        <v>119</v>
      </c>
      <c r="DX1" s="1" t="s">
        <v>120</v>
      </c>
      <c r="DY1" s="1" t="s">
        <v>121</v>
      </c>
      <c r="DZ1" s="1" t="s">
        <v>122</v>
      </c>
      <c r="EA1" s="1" t="s">
        <v>123</v>
      </c>
      <c r="EB1" s="1" t="s">
        <v>124</v>
      </c>
      <c r="EC1" s="1" t="s">
        <v>125</v>
      </c>
      <c r="ED1" s="1" t="s">
        <v>126</v>
      </c>
      <c r="EE1" s="1" t="s">
        <v>127</v>
      </c>
      <c r="EF1" s="1" t="s">
        <v>128</v>
      </c>
      <c r="EG1" s="1" t="s">
        <v>129</v>
      </c>
      <c r="EH1" s="1" t="s">
        <v>130</v>
      </c>
      <c r="EI1" s="1" t="s">
        <v>131</v>
      </c>
      <c r="EJ1" s="1" t="s">
        <v>132</v>
      </c>
      <c r="EK1" s="1" t="s">
        <v>133</v>
      </c>
      <c r="EL1" s="1" t="s">
        <v>134</v>
      </c>
      <c r="EM1" s="1" t="s">
        <v>135</v>
      </c>
      <c r="EN1" s="1" t="s">
        <v>136</v>
      </c>
      <c r="EO1" s="1" t="s">
        <v>137</v>
      </c>
      <c r="EP1" s="1" t="s">
        <v>138</v>
      </c>
      <c r="EQ1" s="1" t="s">
        <v>139</v>
      </c>
      <c r="ER1" s="1" t="s">
        <v>140</v>
      </c>
      <c r="ES1" s="1" t="s">
        <v>141</v>
      </c>
      <c r="ET1" s="1" t="s">
        <v>142</v>
      </c>
      <c r="EU1" s="1" t="s">
        <v>143</v>
      </c>
      <c r="EV1" s="19" t="s">
        <v>33</v>
      </c>
    </row>
    <row r="2" spans="1:167">
      <c r="A2" s="1" t="s">
        <v>1</v>
      </c>
      <c r="B2">
        <v>3.75</v>
      </c>
      <c r="AM2">
        <v>1.25</v>
      </c>
      <c r="AQ2">
        <v>50</v>
      </c>
      <c r="AR2">
        <v>20.5</v>
      </c>
      <c r="AS2">
        <v>1.75</v>
      </c>
      <c r="BC2">
        <v>16.25</v>
      </c>
      <c r="BE2">
        <v>1.5</v>
      </c>
      <c r="BF2">
        <v>9.75</v>
      </c>
      <c r="BG2">
        <v>1.5</v>
      </c>
      <c r="BL2">
        <v>5.75</v>
      </c>
      <c r="BM2">
        <v>10.5</v>
      </c>
      <c r="BQ2">
        <v>1.25</v>
      </c>
      <c r="BT2">
        <v>10.51</v>
      </c>
      <c r="BU2">
        <v>139</v>
      </c>
      <c r="CB2" s="79">
        <v>1.5</v>
      </c>
      <c r="CC2" s="79">
        <v>4.25</v>
      </c>
      <c r="CE2" s="42"/>
      <c r="CR2" s="42"/>
      <c r="CX2" s="42">
        <v>7.2</v>
      </c>
      <c r="DM2">
        <v>2</v>
      </c>
      <c r="DP2" s="42"/>
      <c r="DQ2" s="42"/>
      <c r="ER2" s="42"/>
      <c r="EU2" s="42"/>
      <c r="EV2" s="19">
        <f>SUM(B2:EU2)</f>
        <v>288.20999999999998</v>
      </c>
      <c r="EW2" s="8">
        <v>288.20999999999998</v>
      </c>
    </row>
    <row r="3" spans="1:167">
      <c r="A3" s="1" t="s">
        <v>2</v>
      </c>
      <c r="I3">
        <v>1.75</v>
      </c>
      <c r="M3">
        <v>0.25</v>
      </c>
      <c r="N3">
        <v>0.5</v>
      </c>
      <c r="O3">
        <v>0.25</v>
      </c>
      <c r="AO3">
        <v>9</v>
      </c>
      <c r="AQ3">
        <v>41.75</v>
      </c>
      <c r="AR3">
        <v>4.75</v>
      </c>
      <c r="AS3">
        <v>10.5</v>
      </c>
      <c r="AT3">
        <v>4</v>
      </c>
      <c r="AU3">
        <v>1.75</v>
      </c>
      <c r="AY3">
        <v>0.75</v>
      </c>
      <c r="BA3">
        <v>103.5</v>
      </c>
      <c r="BB3">
        <v>1.25</v>
      </c>
      <c r="BC3">
        <v>700.75</v>
      </c>
      <c r="BD3">
        <v>2.75</v>
      </c>
      <c r="BE3">
        <v>27.75</v>
      </c>
      <c r="BF3">
        <v>106.5</v>
      </c>
      <c r="BG3">
        <v>15.5</v>
      </c>
      <c r="BK3">
        <v>49.25</v>
      </c>
      <c r="BL3">
        <v>55.25</v>
      </c>
      <c r="BO3">
        <v>4.5</v>
      </c>
      <c r="BP3">
        <v>10.25</v>
      </c>
      <c r="BQ3">
        <v>15.25</v>
      </c>
      <c r="BT3">
        <v>14.25</v>
      </c>
      <c r="BX3">
        <v>4.5</v>
      </c>
      <c r="BY3">
        <v>15.25</v>
      </c>
      <c r="BZ3">
        <v>1.25</v>
      </c>
      <c r="CA3">
        <v>9</v>
      </c>
      <c r="CB3" s="79">
        <v>37</v>
      </c>
      <c r="CC3" s="79">
        <v>59.5</v>
      </c>
      <c r="CD3">
        <v>0.75</v>
      </c>
      <c r="CE3" s="42"/>
      <c r="CN3">
        <v>1.25</v>
      </c>
      <c r="CR3" s="42">
        <v>8</v>
      </c>
      <c r="CX3" s="42">
        <v>57.6</v>
      </c>
      <c r="DM3">
        <v>0.5</v>
      </c>
      <c r="DN3">
        <v>2</v>
      </c>
      <c r="DP3" s="42">
        <v>32.5</v>
      </c>
      <c r="DQ3" s="42">
        <v>55.5</v>
      </c>
      <c r="EQ3">
        <v>2.75</v>
      </c>
      <c r="ER3" s="42">
        <v>197.5</v>
      </c>
      <c r="EU3" s="42">
        <v>3</v>
      </c>
      <c r="EV3" s="19">
        <f t="shared" ref="EV3:EV27" si="0">SUM(B3:EU3)</f>
        <v>1669.85</v>
      </c>
      <c r="EW3" s="8">
        <v>1669.85</v>
      </c>
    </row>
    <row r="4" spans="1:167">
      <c r="A4" s="1" t="s">
        <v>3</v>
      </c>
      <c r="B4">
        <v>104.5</v>
      </c>
      <c r="C4">
        <v>13</v>
      </c>
      <c r="D4">
        <v>49</v>
      </c>
      <c r="E4">
        <v>10.5</v>
      </c>
      <c r="F4">
        <v>121.75</v>
      </c>
      <c r="H4">
        <v>311.25</v>
      </c>
      <c r="O4">
        <v>1.75</v>
      </c>
      <c r="P4">
        <v>1</v>
      </c>
      <c r="Q4">
        <v>4</v>
      </c>
      <c r="V4">
        <v>5.5</v>
      </c>
      <c r="Y4">
        <v>5</v>
      </c>
      <c r="AA4">
        <v>9.5</v>
      </c>
      <c r="BK4">
        <v>0.25</v>
      </c>
      <c r="BP4">
        <v>19</v>
      </c>
      <c r="BT4">
        <v>6.25</v>
      </c>
      <c r="BY4">
        <v>2.25</v>
      </c>
      <c r="CB4" s="79">
        <v>28.5</v>
      </c>
      <c r="CC4" s="79">
        <v>31.5</v>
      </c>
      <c r="CE4" s="42">
        <v>122</v>
      </c>
      <c r="CJ4">
        <v>18.25</v>
      </c>
      <c r="CK4">
        <v>6.25</v>
      </c>
      <c r="CM4">
        <v>3.5</v>
      </c>
      <c r="CQ4">
        <v>7.75</v>
      </c>
      <c r="CR4" s="42">
        <v>4</v>
      </c>
      <c r="CS4">
        <v>0.75</v>
      </c>
      <c r="CX4" s="42">
        <v>49.6</v>
      </c>
      <c r="DI4">
        <v>4.75</v>
      </c>
      <c r="DP4" s="42">
        <v>29</v>
      </c>
      <c r="DQ4" s="42">
        <v>36</v>
      </c>
      <c r="DR4">
        <v>2.5</v>
      </c>
      <c r="DS4">
        <v>111.25</v>
      </c>
      <c r="DT4">
        <v>104</v>
      </c>
      <c r="DU4">
        <v>30.75</v>
      </c>
      <c r="DV4">
        <v>4</v>
      </c>
      <c r="ER4" s="42">
        <v>142.5</v>
      </c>
      <c r="ES4">
        <v>8.75</v>
      </c>
      <c r="EU4" s="42"/>
      <c r="EV4" s="19">
        <f t="shared" si="0"/>
        <v>1410.1</v>
      </c>
      <c r="EW4" s="8">
        <v>1410.1</v>
      </c>
      <c r="FC4" s="23" t="s">
        <v>155</v>
      </c>
      <c r="FG4" s="40">
        <v>2088</v>
      </c>
      <c r="FH4" s="24" t="s">
        <v>166</v>
      </c>
      <c r="FK4" s="39" t="s">
        <v>167</v>
      </c>
    </row>
    <row r="5" spans="1:167">
      <c r="A5" s="1" t="s">
        <v>4</v>
      </c>
      <c r="F5">
        <v>31.5</v>
      </c>
      <c r="H5">
        <v>119.25</v>
      </c>
      <c r="BP5">
        <v>2.25</v>
      </c>
      <c r="CB5" s="79">
        <v>1</v>
      </c>
      <c r="CC5" s="79">
        <v>16</v>
      </c>
      <c r="CE5" s="42"/>
      <c r="CR5" s="42"/>
      <c r="CX5" s="42">
        <v>4</v>
      </c>
      <c r="DP5" s="42">
        <v>32</v>
      </c>
      <c r="DQ5" s="42">
        <v>7</v>
      </c>
      <c r="ER5" s="42">
        <v>36</v>
      </c>
      <c r="EU5" s="42">
        <v>4</v>
      </c>
      <c r="EV5" s="19">
        <f t="shared" si="0"/>
        <v>253</v>
      </c>
      <c r="EW5" s="8">
        <v>253</v>
      </c>
      <c r="EX5" s="25" t="s">
        <v>156</v>
      </c>
      <c r="FB5" s="26">
        <f>SUM(EV2:EV22)</f>
        <v>23691.440000000002</v>
      </c>
      <c r="FC5" s="27" t="s">
        <v>157</v>
      </c>
      <c r="FE5" s="28">
        <f>FB5/$FG$4</f>
        <v>11.346475095785442</v>
      </c>
      <c r="FH5" s="11" t="s">
        <v>170</v>
      </c>
    </row>
    <row r="6" spans="1:167">
      <c r="A6" s="1" t="s">
        <v>5</v>
      </c>
      <c r="AD6">
        <v>21.25</v>
      </c>
      <c r="AE6">
        <v>234.5</v>
      </c>
      <c r="AF6">
        <v>442</v>
      </c>
      <c r="AH6">
        <v>23.5</v>
      </c>
      <c r="AI6">
        <v>0.5</v>
      </c>
      <c r="AJ6">
        <v>3</v>
      </c>
      <c r="AO6">
        <v>0.25</v>
      </c>
      <c r="BP6">
        <v>0.5</v>
      </c>
      <c r="BQ6">
        <v>7.13</v>
      </c>
      <c r="BY6">
        <v>24</v>
      </c>
      <c r="CA6">
        <v>1.5</v>
      </c>
      <c r="CB6" s="79">
        <v>38.25</v>
      </c>
      <c r="CC6" s="79">
        <v>29.75</v>
      </c>
      <c r="CE6" s="42"/>
      <c r="CR6" s="42">
        <v>37</v>
      </c>
      <c r="CX6" s="42">
        <v>41.6</v>
      </c>
      <c r="DP6" s="42"/>
      <c r="DQ6" s="42">
        <v>42.5</v>
      </c>
      <c r="ER6" s="42">
        <v>90.5</v>
      </c>
      <c r="EU6" s="42">
        <v>30</v>
      </c>
      <c r="EV6" s="19">
        <f t="shared" si="0"/>
        <v>1067.73</v>
      </c>
      <c r="EW6" s="8">
        <v>1067.73</v>
      </c>
      <c r="EX6" s="29"/>
      <c r="EY6" s="13"/>
      <c r="EZ6" s="13"/>
      <c r="FA6" s="13"/>
      <c r="FB6" s="13"/>
      <c r="FC6" s="27"/>
      <c r="FD6" s="13"/>
      <c r="FE6" s="281"/>
    </row>
    <row r="7" spans="1:167">
      <c r="A7" s="1" t="s">
        <v>6</v>
      </c>
      <c r="AD7">
        <v>27</v>
      </c>
      <c r="AE7">
        <v>387.75</v>
      </c>
      <c r="AF7">
        <v>353.5</v>
      </c>
      <c r="AG7">
        <v>268</v>
      </c>
      <c r="AI7">
        <v>3</v>
      </c>
      <c r="AJ7">
        <v>2</v>
      </c>
      <c r="AL7">
        <v>7.5</v>
      </c>
      <c r="AM7">
        <v>2.75</v>
      </c>
      <c r="AN7">
        <v>2</v>
      </c>
      <c r="AO7">
        <v>50.5</v>
      </c>
      <c r="BP7">
        <v>45</v>
      </c>
      <c r="BX7">
        <v>5.63</v>
      </c>
      <c r="CB7" s="79">
        <v>43.75</v>
      </c>
      <c r="CC7" s="79">
        <v>0.25</v>
      </c>
      <c r="CE7" s="42"/>
      <c r="CR7" s="42">
        <v>12</v>
      </c>
      <c r="CX7" s="42">
        <v>50.4</v>
      </c>
      <c r="DP7" s="42">
        <v>16</v>
      </c>
      <c r="DQ7" s="42">
        <v>53</v>
      </c>
      <c r="ER7" s="42">
        <v>131.5</v>
      </c>
      <c r="EU7" s="42"/>
      <c r="EV7" s="19">
        <f t="shared" si="0"/>
        <v>1461.5300000000002</v>
      </c>
      <c r="EW7" s="8">
        <v>1461.5300000000002</v>
      </c>
    </row>
    <row r="8" spans="1:167">
      <c r="A8" s="1" t="s">
        <v>8</v>
      </c>
      <c r="AP8">
        <v>19</v>
      </c>
      <c r="AQ8">
        <v>414</v>
      </c>
      <c r="AR8">
        <v>155</v>
      </c>
      <c r="AS8">
        <v>53.75</v>
      </c>
      <c r="AT8">
        <v>50.5</v>
      </c>
      <c r="AU8">
        <v>138.5</v>
      </c>
      <c r="AX8">
        <v>12.25</v>
      </c>
      <c r="AY8">
        <v>8.25</v>
      </c>
      <c r="BQ8">
        <v>3</v>
      </c>
      <c r="BT8">
        <v>4.5</v>
      </c>
      <c r="BU8">
        <v>15.5</v>
      </c>
      <c r="CB8" s="79">
        <v>23.5</v>
      </c>
      <c r="CC8" s="79">
        <v>1.5</v>
      </c>
      <c r="CE8" s="42"/>
      <c r="CR8" s="42">
        <v>19.5</v>
      </c>
      <c r="CX8" s="42">
        <v>36</v>
      </c>
      <c r="DM8">
        <v>3</v>
      </c>
      <c r="DP8" s="42"/>
      <c r="DQ8" s="42">
        <v>14.25</v>
      </c>
      <c r="ER8" s="42">
        <v>70</v>
      </c>
      <c r="EU8" s="42">
        <v>7</v>
      </c>
      <c r="EV8" s="19">
        <f t="shared" si="0"/>
        <v>1049</v>
      </c>
      <c r="EW8" s="8">
        <v>1049</v>
      </c>
      <c r="FC8" s="23" t="s">
        <v>158</v>
      </c>
      <c r="FG8" s="24">
        <v>1900</v>
      </c>
      <c r="FH8" t="s">
        <v>168</v>
      </c>
      <c r="FJ8" s="39" t="s">
        <v>169</v>
      </c>
    </row>
    <row r="9" spans="1:167">
      <c r="A9" s="1" t="s">
        <v>9</v>
      </c>
      <c r="B9">
        <v>294.25</v>
      </c>
      <c r="G9">
        <v>1.25</v>
      </c>
      <c r="H9">
        <v>171</v>
      </c>
      <c r="I9">
        <v>2</v>
      </c>
      <c r="J9">
        <v>0.25</v>
      </c>
      <c r="M9">
        <v>37.75</v>
      </c>
      <c r="N9">
        <v>0.5</v>
      </c>
      <c r="O9">
        <v>1.5</v>
      </c>
      <c r="P9">
        <v>19.75</v>
      </c>
      <c r="R9">
        <v>2.5</v>
      </c>
      <c r="S9">
        <v>2</v>
      </c>
      <c r="T9">
        <v>0.5</v>
      </c>
      <c r="U9">
        <v>2.5</v>
      </c>
      <c r="V9">
        <v>100.5</v>
      </c>
      <c r="X9">
        <v>16.25</v>
      </c>
      <c r="Y9">
        <v>11</v>
      </c>
      <c r="AA9">
        <v>0.75</v>
      </c>
      <c r="BP9">
        <v>18.5</v>
      </c>
      <c r="BT9">
        <v>3.75</v>
      </c>
      <c r="BW9">
        <v>0.5</v>
      </c>
      <c r="BX9">
        <v>11.51</v>
      </c>
      <c r="CA9">
        <v>32.5</v>
      </c>
      <c r="CB9" s="79">
        <v>80.25</v>
      </c>
      <c r="CC9" s="79">
        <v>73</v>
      </c>
      <c r="CE9" s="42"/>
      <c r="CF9">
        <v>1.25</v>
      </c>
      <c r="CJ9">
        <v>13</v>
      </c>
      <c r="CK9">
        <v>10.75</v>
      </c>
      <c r="CO9">
        <v>2.5</v>
      </c>
      <c r="CQ9">
        <v>2.75</v>
      </c>
      <c r="CR9" s="42">
        <v>49.75</v>
      </c>
      <c r="CS9">
        <v>5.75</v>
      </c>
      <c r="CU9">
        <v>0.5</v>
      </c>
      <c r="CW9">
        <v>5.75</v>
      </c>
      <c r="CX9" s="42">
        <v>43.2</v>
      </c>
      <c r="DK9">
        <v>1.75</v>
      </c>
      <c r="DL9">
        <v>1</v>
      </c>
      <c r="DN9">
        <v>1.75</v>
      </c>
      <c r="DP9" s="42">
        <v>15.5</v>
      </c>
      <c r="DQ9" s="42">
        <v>43.75</v>
      </c>
      <c r="DR9">
        <v>1</v>
      </c>
      <c r="DS9">
        <v>8.75</v>
      </c>
      <c r="DT9">
        <v>10.25</v>
      </c>
      <c r="DU9">
        <v>12</v>
      </c>
      <c r="EQ9">
        <v>0.5</v>
      </c>
      <c r="ER9" s="42">
        <v>128.5</v>
      </c>
      <c r="EU9" s="42"/>
      <c r="EV9" s="19">
        <f t="shared" si="0"/>
        <v>1244.21</v>
      </c>
      <c r="EW9" s="8">
        <v>1244.21</v>
      </c>
      <c r="EX9" s="30" t="s">
        <v>159</v>
      </c>
      <c r="FB9" s="26">
        <f>SUM(EV23:EV25)</f>
        <v>831.45</v>
      </c>
      <c r="FC9" s="27" t="s">
        <v>157</v>
      </c>
      <c r="FE9" s="28">
        <f>FB9/$FG$8</f>
        <v>0.43760526315789477</v>
      </c>
    </row>
    <row r="10" spans="1:167">
      <c r="A10" s="1" t="s">
        <v>11</v>
      </c>
      <c r="AI10">
        <v>0.75</v>
      </c>
      <c r="AO10">
        <v>3.75</v>
      </c>
      <c r="AP10">
        <v>33.5</v>
      </c>
      <c r="AQ10">
        <v>393.75</v>
      </c>
      <c r="AR10">
        <v>84.5</v>
      </c>
      <c r="AS10">
        <v>107</v>
      </c>
      <c r="AT10">
        <v>50.5</v>
      </c>
      <c r="AU10">
        <v>27.5</v>
      </c>
      <c r="AV10">
        <v>0.75</v>
      </c>
      <c r="AX10">
        <v>3.5</v>
      </c>
      <c r="AY10">
        <v>28.5</v>
      </c>
      <c r="AZ10">
        <v>1.25</v>
      </c>
      <c r="BE10">
        <v>0.5</v>
      </c>
      <c r="BQ10">
        <v>3.5</v>
      </c>
      <c r="BT10">
        <v>2.25</v>
      </c>
      <c r="BV10">
        <v>0.75</v>
      </c>
      <c r="BX10">
        <v>2</v>
      </c>
      <c r="BY10">
        <v>1.75</v>
      </c>
      <c r="CB10" s="79">
        <v>22</v>
      </c>
      <c r="CC10" s="79">
        <v>29</v>
      </c>
      <c r="CE10" s="42"/>
      <c r="CR10" s="42"/>
      <c r="CX10" s="42">
        <v>36</v>
      </c>
      <c r="DM10">
        <v>0.75</v>
      </c>
      <c r="DP10" s="42">
        <v>121</v>
      </c>
      <c r="DQ10" s="42">
        <v>8.25</v>
      </c>
      <c r="ER10" s="42">
        <v>80</v>
      </c>
      <c r="EU10" s="42"/>
      <c r="EV10" s="19">
        <f t="shared" si="0"/>
        <v>1043</v>
      </c>
      <c r="EW10" s="8">
        <v>1043</v>
      </c>
      <c r="EX10" s="31"/>
      <c r="EY10" s="13"/>
      <c r="EZ10" s="13"/>
      <c r="FA10" s="13"/>
      <c r="FB10" s="13"/>
      <c r="FC10" s="27"/>
      <c r="FD10" s="13"/>
      <c r="FE10" s="281"/>
    </row>
    <row r="11" spans="1:167">
      <c r="A11" s="1" t="s">
        <v>12</v>
      </c>
      <c r="AD11">
        <v>16.5</v>
      </c>
      <c r="AE11">
        <v>52.75</v>
      </c>
      <c r="AF11">
        <v>218.75</v>
      </c>
      <c r="AH11">
        <v>35.25</v>
      </c>
      <c r="AI11">
        <v>4</v>
      </c>
      <c r="AM11">
        <v>2</v>
      </c>
      <c r="AO11">
        <v>6.75</v>
      </c>
      <c r="BP11">
        <v>12</v>
      </c>
      <c r="BX11">
        <v>5.63</v>
      </c>
      <c r="CA11">
        <v>8.25</v>
      </c>
      <c r="CB11" s="79">
        <v>7.5</v>
      </c>
      <c r="CC11" s="79">
        <v>12.5</v>
      </c>
      <c r="CE11" s="42"/>
      <c r="CR11" s="42">
        <v>12.5</v>
      </c>
      <c r="CV11">
        <v>3.5</v>
      </c>
      <c r="CX11" s="42">
        <v>14.4</v>
      </c>
      <c r="DP11" s="42"/>
      <c r="DQ11" s="42">
        <v>1</v>
      </c>
      <c r="ER11" s="42">
        <v>10</v>
      </c>
      <c r="EU11" s="42"/>
      <c r="EV11" s="19">
        <f t="shared" si="0"/>
        <v>423.28</v>
      </c>
      <c r="EW11" s="8">
        <v>423.28</v>
      </c>
      <c r="FB11" s="32"/>
      <c r="FE11" s="33">
        <f>FE9+FE5</f>
        <v>11.784080358943337</v>
      </c>
    </row>
    <row r="12" spans="1:167">
      <c r="A12" s="1" t="s">
        <v>13</v>
      </c>
      <c r="AD12">
        <v>152.5</v>
      </c>
      <c r="AJ12">
        <v>3.75</v>
      </c>
      <c r="AM12">
        <v>8</v>
      </c>
      <c r="AO12">
        <v>0.25</v>
      </c>
      <c r="BP12">
        <v>2</v>
      </c>
      <c r="CA12">
        <v>56.75</v>
      </c>
      <c r="CB12" s="79">
        <v>47.5</v>
      </c>
      <c r="CC12" s="79">
        <v>2</v>
      </c>
      <c r="CE12" s="42">
        <v>64</v>
      </c>
      <c r="CR12" s="42"/>
      <c r="CX12" s="42">
        <v>20</v>
      </c>
      <c r="DP12" s="42">
        <v>16</v>
      </c>
      <c r="DQ12" s="42">
        <v>17.25</v>
      </c>
      <c r="DT12">
        <v>3</v>
      </c>
      <c r="DW12">
        <v>1.25</v>
      </c>
      <c r="DX12">
        <v>26.75</v>
      </c>
      <c r="DY12">
        <v>0.5</v>
      </c>
      <c r="EB12">
        <v>2.75</v>
      </c>
      <c r="EE12">
        <v>190.25</v>
      </c>
      <c r="ER12" s="42">
        <v>76</v>
      </c>
      <c r="EU12" s="42"/>
      <c r="EV12" s="19">
        <f t="shared" si="0"/>
        <v>690.5</v>
      </c>
      <c r="EW12" s="8">
        <v>690.5</v>
      </c>
      <c r="EX12" s="32" t="s">
        <v>160</v>
      </c>
      <c r="FC12" s="34" t="s">
        <v>161</v>
      </c>
    </row>
    <row r="13" spans="1:167">
      <c r="A13" s="1" t="s">
        <v>14</v>
      </c>
      <c r="B13">
        <v>10.5</v>
      </c>
      <c r="D13">
        <v>28</v>
      </c>
      <c r="F13">
        <v>251.25</v>
      </c>
      <c r="H13">
        <v>304</v>
      </c>
      <c r="P13">
        <v>33</v>
      </c>
      <c r="R13">
        <v>57</v>
      </c>
      <c r="V13">
        <v>38.5</v>
      </c>
      <c r="BP13">
        <v>9.5</v>
      </c>
      <c r="BW13">
        <v>29.25</v>
      </c>
      <c r="CB13" s="79">
        <v>9.25</v>
      </c>
      <c r="CC13" s="79">
        <v>47.25</v>
      </c>
      <c r="CE13" s="42"/>
      <c r="CQ13">
        <v>14.5</v>
      </c>
      <c r="CR13" s="42">
        <v>12</v>
      </c>
      <c r="CX13" s="42">
        <v>39.6</v>
      </c>
      <c r="DI13">
        <v>1</v>
      </c>
      <c r="DP13" s="42">
        <v>20</v>
      </c>
      <c r="DQ13" s="42">
        <v>23.75</v>
      </c>
      <c r="DS13">
        <v>5.25</v>
      </c>
      <c r="DT13">
        <v>15.75</v>
      </c>
      <c r="DV13">
        <v>50</v>
      </c>
      <c r="ER13" s="42">
        <v>144</v>
      </c>
      <c r="EU13" s="42"/>
      <c r="EV13" s="19">
        <f t="shared" si="0"/>
        <v>1143.3499999999999</v>
      </c>
      <c r="EW13" s="8">
        <v>1143.3499999999999</v>
      </c>
      <c r="EX13" s="8">
        <f>SUM(EV2:EV25)</f>
        <v>24522.890000000003</v>
      </c>
      <c r="EY13" s="8">
        <f>FB5+FB9</f>
        <v>24522.890000000003</v>
      </c>
      <c r="EZ13" s="34" t="s">
        <v>162</v>
      </c>
      <c r="FB13" s="26">
        <f>EV27</f>
        <v>24522.89</v>
      </c>
      <c r="FC13" s="27" t="s">
        <v>157</v>
      </c>
      <c r="FE13" s="35">
        <f>FE5+FE9</f>
        <v>11.784080358943337</v>
      </c>
    </row>
    <row r="14" spans="1:167">
      <c r="A14" s="1" t="s">
        <v>15</v>
      </c>
      <c r="AD14">
        <v>51.5</v>
      </c>
      <c r="AE14">
        <v>79.5</v>
      </c>
      <c r="AF14">
        <v>154</v>
      </c>
      <c r="AH14">
        <v>29.75</v>
      </c>
      <c r="AI14">
        <v>3</v>
      </c>
      <c r="AJ14">
        <v>1.75</v>
      </c>
      <c r="AL14">
        <v>2.5</v>
      </c>
      <c r="AO14">
        <v>48.63</v>
      </c>
      <c r="BP14">
        <v>2</v>
      </c>
      <c r="BY14">
        <v>27.5</v>
      </c>
      <c r="CA14">
        <v>0.75</v>
      </c>
      <c r="CB14" s="79">
        <v>16</v>
      </c>
      <c r="CC14" s="79">
        <v>15.25</v>
      </c>
      <c r="CE14" s="42"/>
      <c r="CR14" s="42"/>
      <c r="CX14" s="42">
        <v>39.200000000000003</v>
      </c>
      <c r="DP14" s="42">
        <v>279.75</v>
      </c>
      <c r="DQ14" s="42">
        <v>7.75</v>
      </c>
      <c r="DW14">
        <v>0.75</v>
      </c>
      <c r="ER14" s="42">
        <v>114</v>
      </c>
      <c r="EU14" s="42">
        <v>228.75</v>
      </c>
      <c r="EV14" s="19">
        <f t="shared" si="0"/>
        <v>1102.33</v>
      </c>
      <c r="EW14" s="8">
        <v>1102.33</v>
      </c>
      <c r="EZ14" s="34" t="s">
        <v>163</v>
      </c>
      <c r="FB14" s="26">
        <f>C64</f>
        <v>9944.25</v>
      </c>
      <c r="FC14" s="27" t="s">
        <v>157</v>
      </c>
      <c r="FE14" s="35">
        <f>FB14/1900</f>
        <v>5.2338157894736845</v>
      </c>
    </row>
    <row r="15" spans="1:167">
      <c r="A15" s="1" t="s">
        <v>17</v>
      </c>
      <c r="B15">
        <v>28.5</v>
      </c>
      <c r="C15">
        <v>13.25</v>
      </c>
      <c r="D15">
        <v>79</v>
      </c>
      <c r="E15">
        <v>9.25</v>
      </c>
      <c r="F15">
        <v>99</v>
      </c>
      <c r="G15">
        <v>7.75</v>
      </c>
      <c r="H15">
        <v>284</v>
      </c>
      <c r="P15">
        <v>88.75</v>
      </c>
      <c r="Q15">
        <v>6</v>
      </c>
      <c r="R15">
        <v>9</v>
      </c>
      <c r="S15">
        <v>13.25</v>
      </c>
      <c r="V15">
        <v>15.75</v>
      </c>
      <c r="BP15">
        <v>10.5</v>
      </c>
      <c r="BT15">
        <v>40</v>
      </c>
      <c r="CB15" s="79">
        <v>12.5</v>
      </c>
      <c r="CC15" s="79">
        <v>35</v>
      </c>
      <c r="CE15" s="42"/>
      <c r="CF15">
        <v>0.25</v>
      </c>
      <c r="CR15" s="42">
        <v>12</v>
      </c>
      <c r="CS15">
        <v>0.75</v>
      </c>
      <c r="CX15" s="42">
        <v>36</v>
      </c>
      <c r="CY15">
        <v>2.75</v>
      </c>
      <c r="DI15">
        <v>8.75</v>
      </c>
      <c r="DP15" s="42">
        <v>43.75</v>
      </c>
      <c r="DQ15" s="42">
        <v>41.5</v>
      </c>
      <c r="DR15">
        <v>9.75</v>
      </c>
      <c r="DT15">
        <v>18.25</v>
      </c>
      <c r="DV15">
        <v>15</v>
      </c>
      <c r="ER15" s="42">
        <v>104.5</v>
      </c>
      <c r="EU15" s="42">
        <v>4</v>
      </c>
      <c r="EV15" s="19">
        <f t="shared" si="0"/>
        <v>1048.75</v>
      </c>
      <c r="EW15" s="8">
        <v>1048.75</v>
      </c>
      <c r="EY15" t="s">
        <v>2709</v>
      </c>
      <c r="FB15" s="26">
        <f>C65</f>
        <v>9779.25</v>
      </c>
      <c r="FC15" s="27" t="s">
        <v>157</v>
      </c>
      <c r="FE15" s="35">
        <f>I65</f>
        <v>5.1469736842105265</v>
      </c>
    </row>
    <row r="16" spans="1:167">
      <c r="A16" s="1" t="s">
        <v>19</v>
      </c>
      <c r="AD16">
        <v>3.5</v>
      </c>
      <c r="AE16">
        <v>22.75</v>
      </c>
      <c r="AF16">
        <v>176</v>
      </c>
      <c r="AM16">
        <v>0.25</v>
      </c>
      <c r="AO16">
        <v>10</v>
      </c>
      <c r="BP16">
        <v>4</v>
      </c>
      <c r="BY16">
        <v>1.25</v>
      </c>
      <c r="CB16" s="79">
        <v>1</v>
      </c>
      <c r="CC16" s="79"/>
      <c r="CE16" s="42"/>
      <c r="CR16" s="42"/>
      <c r="CX16" s="42">
        <v>5.6</v>
      </c>
      <c r="DP16" s="42"/>
      <c r="DQ16" s="42">
        <v>4.75</v>
      </c>
      <c r="ER16" s="42"/>
      <c r="EU16" s="42"/>
      <c r="EV16" s="19">
        <f t="shared" si="0"/>
        <v>229.1</v>
      </c>
      <c r="EW16" s="8">
        <v>229.1</v>
      </c>
      <c r="EX16" s="4"/>
      <c r="EY16" s="13" t="s">
        <v>171</v>
      </c>
      <c r="EZ16" s="4"/>
      <c r="FA16" s="4"/>
      <c r="FB16" s="26">
        <f>SUM(EU27+ER27+DQ27+DP27+CX27+CR27+CE27)</f>
        <v>5603</v>
      </c>
      <c r="FC16" s="37">
        <v>5603</v>
      </c>
      <c r="FD16" s="37" t="s">
        <v>173</v>
      </c>
      <c r="FE16" s="4"/>
      <c r="FF16" s="4"/>
      <c r="FG16" s="4"/>
    </row>
    <row r="17" spans="1:163" ht="15.75">
      <c r="A17" s="1" t="s">
        <v>21</v>
      </c>
      <c r="B17">
        <v>23.5</v>
      </c>
      <c r="I17">
        <v>1</v>
      </c>
      <c r="O17">
        <v>3.5</v>
      </c>
      <c r="P17">
        <v>1</v>
      </c>
      <c r="Y17">
        <v>2</v>
      </c>
      <c r="AD17">
        <v>20.5</v>
      </c>
      <c r="AO17">
        <v>17</v>
      </c>
      <c r="AP17">
        <v>32</v>
      </c>
      <c r="AQ17">
        <v>2.25</v>
      </c>
      <c r="AS17">
        <v>0.5</v>
      </c>
      <c r="AU17">
        <v>5.25</v>
      </c>
      <c r="AW17">
        <v>2.75</v>
      </c>
      <c r="AX17">
        <v>10</v>
      </c>
      <c r="BA17">
        <v>11.25</v>
      </c>
      <c r="BD17">
        <v>1.5</v>
      </c>
      <c r="BE17">
        <v>2</v>
      </c>
      <c r="BK17">
        <v>0.5</v>
      </c>
      <c r="BP17">
        <v>6.75</v>
      </c>
      <c r="BQ17">
        <v>41.75</v>
      </c>
      <c r="BR17">
        <v>6.25</v>
      </c>
      <c r="BS17">
        <v>1</v>
      </c>
      <c r="BT17">
        <v>1.75</v>
      </c>
      <c r="BV17">
        <v>27</v>
      </c>
      <c r="BX17">
        <v>7.25</v>
      </c>
      <c r="BY17">
        <v>2.75</v>
      </c>
      <c r="CA17">
        <v>169.75</v>
      </c>
      <c r="CB17" s="79">
        <v>426.5</v>
      </c>
      <c r="CC17" s="79">
        <v>55.25</v>
      </c>
      <c r="CE17" s="42">
        <v>219.5</v>
      </c>
      <c r="CP17">
        <v>0.5</v>
      </c>
      <c r="CR17" s="42">
        <v>8</v>
      </c>
      <c r="CX17" s="42">
        <v>57.6</v>
      </c>
      <c r="DG17">
        <v>0.5</v>
      </c>
      <c r="DL17">
        <v>1.5</v>
      </c>
      <c r="DM17">
        <v>0.25</v>
      </c>
      <c r="DP17" s="42">
        <v>226.5</v>
      </c>
      <c r="DQ17" s="42">
        <v>46.5</v>
      </c>
      <c r="DS17">
        <v>1</v>
      </c>
      <c r="DU17">
        <v>1.75</v>
      </c>
      <c r="ED17">
        <v>6.5</v>
      </c>
      <c r="EE17">
        <v>36.75</v>
      </c>
      <c r="EF17">
        <v>39</v>
      </c>
      <c r="EJ17">
        <v>48</v>
      </c>
      <c r="EO17">
        <v>35.5</v>
      </c>
      <c r="EP17">
        <v>1</v>
      </c>
      <c r="ER17" s="42">
        <v>252</v>
      </c>
      <c r="EU17" s="42">
        <v>4</v>
      </c>
      <c r="EV17" s="19">
        <f t="shared" si="0"/>
        <v>1868.85</v>
      </c>
      <c r="EW17" s="8">
        <v>1868.85</v>
      </c>
      <c r="EX17" s="4"/>
      <c r="EY17" s="38" t="s">
        <v>164</v>
      </c>
      <c r="EZ17" s="4"/>
      <c r="FA17" s="4"/>
      <c r="FB17" s="4"/>
      <c r="FC17" s="4"/>
      <c r="FD17" s="4"/>
      <c r="FE17" s="4"/>
      <c r="FF17" s="4"/>
      <c r="FG17" s="4"/>
    </row>
    <row r="18" spans="1:163">
      <c r="A18" s="1" t="s">
        <v>22</v>
      </c>
      <c r="I18">
        <v>12.75</v>
      </c>
      <c r="V18">
        <v>0.5</v>
      </c>
      <c r="AO18">
        <v>33.25</v>
      </c>
      <c r="AQ18">
        <v>0.5</v>
      </c>
      <c r="AT18">
        <v>1</v>
      </c>
      <c r="AU18">
        <v>2.25</v>
      </c>
      <c r="AX18">
        <v>0.5</v>
      </c>
      <c r="BA18">
        <v>69.25</v>
      </c>
      <c r="BB18">
        <v>39</v>
      </c>
      <c r="BC18">
        <v>396.75</v>
      </c>
      <c r="BD18">
        <v>33.75</v>
      </c>
      <c r="BE18">
        <v>70.75</v>
      </c>
      <c r="BF18">
        <v>191</v>
      </c>
      <c r="BG18">
        <v>99.5</v>
      </c>
      <c r="BJ18">
        <v>0.75</v>
      </c>
      <c r="BK18">
        <v>14.75</v>
      </c>
      <c r="BL18">
        <v>38.5</v>
      </c>
      <c r="BM18">
        <v>0.75</v>
      </c>
      <c r="BN18">
        <v>0.5</v>
      </c>
      <c r="BO18">
        <v>1</v>
      </c>
      <c r="BP18">
        <v>4.75</v>
      </c>
      <c r="BQ18">
        <v>7.75</v>
      </c>
      <c r="BT18">
        <v>13.25</v>
      </c>
      <c r="BX18">
        <v>9.51</v>
      </c>
      <c r="BY18">
        <v>3.5</v>
      </c>
      <c r="CA18">
        <v>74.75</v>
      </c>
      <c r="CB18" s="79">
        <v>293.25</v>
      </c>
      <c r="CC18" s="79">
        <v>238.5</v>
      </c>
      <c r="CE18" s="42"/>
      <c r="CN18">
        <v>1</v>
      </c>
      <c r="CR18" s="42">
        <v>46</v>
      </c>
      <c r="CX18" s="42">
        <v>72</v>
      </c>
      <c r="DK18">
        <v>1.75</v>
      </c>
      <c r="DM18">
        <v>3.75</v>
      </c>
      <c r="DN18">
        <v>5</v>
      </c>
      <c r="DP18" s="42">
        <v>8</v>
      </c>
      <c r="DQ18" s="42">
        <v>0.75</v>
      </c>
      <c r="EF18">
        <v>109.75</v>
      </c>
      <c r="EJ18">
        <v>1.25</v>
      </c>
      <c r="EK18">
        <v>4.25</v>
      </c>
      <c r="EQ18">
        <v>4.25</v>
      </c>
      <c r="ER18" s="42">
        <v>176</v>
      </c>
      <c r="ES18">
        <v>1</v>
      </c>
      <c r="EU18" s="42"/>
      <c r="EV18" s="19">
        <f t="shared" si="0"/>
        <v>2087.0100000000002</v>
      </c>
      <c r="EW18" s="8">
        <v>2087.0100000000002</v>
      </c>
      <c r="EX18" s="4"/>
      <c r="EY18" s="13" t="s">
        <v>165</v>
      </c>
      <c r="EZ18" s="4"/>
      <c r="FA18" s="4"/>
      <c r="FB18" s="36">
        <f>EV27-FB16-'Heures productives'!EV48-'Heures productives'!EV33-'Heures productives'!EV34-'Heures productives'!EV35-'Heures productives'!EV36-'Heures productives'!EV37-'Heures productives'!EV38-'Heures productives'!EV39-'Heures productives'!EV40</f>
        <v>16822.289999999997</v>
      </c>
      <c r="FC18" s="4"/>
      <c r="FD18" s="4"/>
      <c r="FE18" s="4"/>
      <c r="FF18" s="4"/>
      <c r="FG18" s="4"/>
    </row>
    <row r="19" spans="1:163">
      <c r="A19" s="1" t="s">
        <v>23</v>
      </c>
      <c r="AD19">
        <v>54.75</v>
      </c>
      <c r="AE19">
        <v>261</v>
      </c>
      <c r="AF19">
        <v>411.5</v>
      </c>
      <c r="AH19">
        <v>64</v>
      </c>
      <c r="AI19">
        <v>13.5</v>
      </c>
      <c r="AJ19">
        <v>9.5</v>
      </c>
      <c r="AK19">
        <v>3</v>
      </c>
      <c r="AL19">
        <v>7.25</v>
      </c>
      <c r="AM19">
        <v>28.5</v>
      </c>
      <c r="AO19">
        <v>30.75</v>
      </c>
      <c r="BP19">
        <v>63.5</v>
      </c>
      <c r="BX19">
        <v>7.13</v>
      </c>
      <c r="BY19">
        <v>17</v>
      </c>
      <c r="CA19">
        <v>9</v>
      </c>
      <c r="CB19" s="79">
        <v>78.25</v>
      </c>
      <c r="CC19" s="79">
        <v>21.25</v>
      </c>
      <c r="CE19" s="42"/>
      <c r="CR19" s="42">
        <v>12</v>
      </c>
      <c r="CV19">
        <v>1.5</v>
      </c>
      <c r="CX19" s="42">
        <v>48</v>
      </c>
      <c r="DI19">
        <v>6.5</v>
      </c>
      <c r="DJ19">
        <v>7.5</v>
      </c>
      <c r="DP19" s="42">
        <v>24</v>
      </c>
      <c r="DQ19" s="42">
        <v>56.25</v>
      </c>
      <c r="DV19">
        <v>11</v>
      </c>
      <c r="DW19">
        <v>27.75</v>
      </c>
      <c r="DZ19">
        <v>18.5</v>
      </c>
      <c r="ER19" s="42">
        <v>128</v>
      </c>
      <c r="EU19" s="42"/>
      <c r="EV19" s="19">
        <f t="shared" si="0"/>
        <v>1420.88</v>
      </c>
      <c r="EW19" s="8">
        <v>1420.88</v>
      </c>
    </row>
    <row r="20" spans="1:163" s="6" customFormat="1">
      <c r="A20" s="5" t="s">
        <v>10</v>
      </c>
      <c r="B20" s="6">
        <v>37.5</v>
      </c>
      <c r="I20" s="6">
        <v>12</v>
      </c>
      <c r="J20" s="6">
        <v>11</v>
      </c>
      <c r="L20" s="6">
        <v>0.25</v>
      </c>
      <c r="AC20" s="6">
        <v>1.25</v>
      </c>
      <c r="AD20" s="6">
        <v>0.25</v>
      </c>
      <c r="AO20" s="6">
        <v>4.75</v>
      </c>
      <c r="AS20" s="6">
        <v>1.5</v>
      </c>
      <c r="AT20" s="6">
        <v>1</v>
      </c>
      <c r="AU20" s="6">
        <v>0.5</v>
      </c>
      <c r="BA20" s="6">
        <v>1</v>
      </c>
      <c r="BC20" s="6">
        <v>183.5</v>
      </c>
      <c r="BE20" s="6">
        <v>0.25</v>
      </c>
      <c r="BF20" s="6">
        <v>305.75</v>
      </c>
      <c r="BH20" s="6">
        <v>278</v>
      </c>
      <c r="BK20" s="6">
        <v>80.5</v>
      </c>
      <c r="BL20" s="6">
        <v>47.5</v>
      </c>
      <c r="BM20" s="6">
        <v>15.5</v>
      </c>
      <c r="BO20" s="6">
        <v>5.75</v>
      </c>
      <c r="BQ20" s="6">
        <v>21.5</v>
      </c>
      <c r="BT20" s="6">
        <v>52.63</v>
      </c>
      <c r="BX20" s="6">
        <v>1.75</v>
      </c>
      <c r="BY20" s="6">
        <v>2.5</v>
      </c>
      <c r="BZ20" s="6">
        <v>0.25</v>
      </c>
      <c r="CB20" s="347">
        <v>14.5</v>
      </c>
      <c r="CC20" s="347">
        <v>67.25</v>
      </c>
      <c r="CE20" s="43"/>
      <c r="CH20" s="6">
        <v>4</v>
      </c>
      <c r="CR20" s="43">
        <v>8</v>
      </c>
      <c r="CX20" s="43">
        <v>50.4</v>
      </c>
      <c r="CY20" s="6">
        <v>1.5</v>
      </c>
      <c r="CZ20" s="6">
        <v>2.25</v>
      </c>
      <c r="DA20" s="6">
        <v>2.75</v>
      </c>
      <c r="DJ20" s="6">
        <v>1</v>
      </c>
      <c r="DN20" s="6">
        <v>5.25</v>
      </c>
      <c r="DO20" s="6">
        <v>10.75</v>
      </c>
      <c r="DP20" s="43">
        <v>12</v>
      </c>
      <c r="DQ20" s="43">
        <v>52.25</v>
      </c>
      <c r="DV20" s="6">
        <v>1</v>
      </c>
      <c r="DZ20" s="6">
        <v>0.5</v>
      </c>
      <c r="EA20" s="6">
        <v>2.25</v>
      </c>
      <c r="EG20" s="6">
        <v>10.75</v>
      </c>
      <c r="EQ20" s="6">
        <v>8</v>
      </c>
      <c r="ER20" s="43">
        <v>144</v>
      </c>
      <c r="EU20" s="43"/>
      <c r="EV20" s="20">
        <f t="shared" ref="EV20:EV25" si="1">SUM(B20:EU20)</f>
        <v>1464.7800000000002</v>
      </c>
      <c r="EW20" s="8">
        <v>1464.7800000000002</v>
      </c>
    </row>
    <row r="21" spans="1:163" s="6" customFormat="1">
      <c r="A21" s="5" t="s">
        <v>18</v>
      </c>
      <c r="B21" s="6">
        <v>3.75</v>
      </c>
      <c r="X21" s="6">
        <v>117.5</v>
      </c>
      <c r="Y21" s="6">
        <v>108.25</v>
      </c>
      <c r="Z21" s="6">
        <v>125</v>
      </c>
      <c r="AA21" s="6">
        <v>14.25</v>
      </c>
      <c r="AB21" s="6">
        <v>4.75</v>
      </c>
      <c r="AE21" s="6">
        <v>16.25</v>
      </c>
      <c r="AP21" s="6">
        <v>486</v>
      </c>
      <c r="AX21" s="6">
        <v>5</v>
      </c>
      <c r="AZ21" s="6">
        <v>5.5</v>
      </c>
      <c r="BE21" s="6">
        <v>2.5</v>
      </c>
      <c r="BG21" s="6">
        <v>80</v>
      </c>
      <c r="BM21" s="6">
        <v>7.75</v>
      </c>
      <c r="BQ21" s="6">
        <v>4.75</v>
      </c>
      <c r="BT21" s="6">
        <v>94.38</v>
      </c>
      <c r="BU21" s="6">
        <v>43.75</v>
      </c>
      <c r="BV21" s="6">
        <v>15.25</v>
      </c>
      <c r="BW21" s="6">
        <v>11.25</v>
      </c>
      <c r="CA21" s="6">
        <v>20</v>
      </c>
      <c r="CB21" s="347">
        <v>137</v>
      </c>
      <c r="CC21" s="347">
        <v>13.5</v>
      </c>
      <c r="CE21" s="43"/>
      <c r="CR21" s="43">
        <v>29.5</v>
      </c>
      <c r="CX21" s="43">
        <v>57.6</v>
      </c>
      <c r="DP21" s="43">
        <v>46.5</v>
      </c>
      <c r="DQ21" s="43">
        <v>4.5</v>
      </c>
      <c r="EA21" s="6">
        <v>1.5</v>
      </c>
      <c r="EG21" s="6">
        <v>15</v>
      </c>
      <c r="EL21" s="6">
        <v>9.5</v>
      </c>
      <c r="EN21" s="6">
        <v>28</v>
      </c>
      <c r="ER21" s="43">
        <v>167</v>
      </c>
      <c r="EU21" s="43"/>
      <c r="EV21" s="20">
        <f t="shared" si="1"/>
        <v>1675.48</v>
      </c>
      <c r="EW21" s="8">
        <v>1675.48</v>
      </c>
    </row>
    <row r="22" spans="1:163" s="6" customFormat="1">
      <c r="A22" s="5" t="s">
        <v>20</v>
      </c>
      <c r="B22" s="6">
        <v>7.5</v>
      </c>
      <c r="G22" s="6">
        <v>0.75</v>
      </c>
      <c r="I22" s="6">
        <v>20</v>
      </c>
      <c r="J22" s="6">
        <v>70</v>
      </c>
      <c r="K22" s="6">
        <v>14.75</v>
      </c>
      <c r="L22" s="6">
        <v>3.25</v>
      </c>
      <c r="O22" s="6">
        <v>10</v>
      </c>
      <c r="AB22" s="6">
        <v>26.25</v>
      </c>
      <c r="AD22" s="6">
        <v>0.75</v>
      </c>
      <c r="AO22" s="6">
        <v>1.5</v>
      </c>
      <c r="AQ22" s="6">
        <v>6.5</v>
      </c>
      <c r="AR22" s="6">
        <v>0.5</v>
      </c>
      <c r="BA22" s="6">
        <v>7</v>
      </c>
      <c r="BC22" s="6">
        <v>17.75</v>
      </c>
      <c r="BE22" s="6">
        <v>14.25</v>
      </c>
      <c r="BF22" s="6">
        <v>0.25</v>
      </c>
      <c r="BG22" s="6">
        <v>74</v>
      </c>
      <c r="BH22" s="6">
        <v>2.75</v>
      </c>
      <c r="BI22" s="6">
        <v>49.75</v>
      </c>
      <c r="BK22" s="6">
        <v>58</v>
      </c>
      <c r="BL22" s="6">
        <v>182.25</v>
      </c>
      <c r="BM22" s="6">
        <v>15</v>
      </c>
      <c r="BO22" s="6">
        <v>23.5</v>
      </c>
      <c r="BQ22" s="6">
        <v>7.5</v>
      </c>
      <c r="BR22" s="6">
        <v>0.25</v>
      </c>
      <c r="BS22" s="6">
        <v>8.25</v>
      </c>
      <c r="BX22" s="6">
        <v>3</v>
      </c>
      <c r="BY22" s="6">
        <v>3.5</v>
      </c>
      <c r="BZ22" s="6">
        <v>0.25</v>
      </c>
      <c r="CB22" s="347">
        <v>11.5</v>
      </c>
      <c r="CC22" s="347">
        <v>60.75</v>
      </c>
      <c r="CE22" s="43"/>
      <c r="CG22" s="6">
        <v>2.75</v>
      </c>
      <c r="CL22" s="6">
        <v>2.25</v>
      </c>
      <c r="CR22" s="43">
        <v>8</v>
      </c>
      <c r="CT22" s="6">
        <v>3.5</v>
      </c>
      <c r="CX22" s="43">
        <v>36</v>
      </c>
      <c r="DC22" s="6">
        <v>28.5</v>
      </c>
      <c r="DD22" s="6">
        <v>2</v>
      </c>
      <c r="DG22" s="6">
        <v>15</v>
      </c>
      <c r="DH22" s="6">
        <v>1.5</v>
      </c>
      <c r="DM22" s="6">
        <v>1</v>
      </c>
      <c r="DN22" s="6">
        <v>0.75</v>
      </c>
      <c r="DP22" s="43"/>
      <c r="DQ22" s="43">
        <v>45.5</v>
      </c>
      <c r="DS22" s="6">
        <v>1</v>
      </c>
      <c r="EA22" s="6">
        <v>7</v>
      </c>
      <c r="EB22" s="6">
        <v>2</v>
      </c>
      <c r="EC22" s="6">
        <v>8.75</v>
      </c>
      <c r="EE22" s="6">
        <v>9.75</v>
      </c>
      <c r="EH22" s="6">
        <v>1.5</v>
      </c>
      <c r="EI22" s="6">
        <v>0.75</v>
      </c>
      <c r="EJ22" s="6">
        <v>7.25</v>
      </c>
      <c r="EM22" s="6">
        <v>1.25</v>
      </c>
      <c r="EQ22" s="6">
        <v>2.5</v>
      </c>
      <c r="ER22" s="43">
        <v>140</v>
      </c>
      <c r="ET22" s="6">
        <v>0.75</v>
      </c>
      <c r="EU22" s="43">
        <v>20</v>
      </c>
      <c r="EV22" s="20">
        <f t="shared" si="1"/>
        <v>1050.5</v>
      </c>
      <c r="EW22" s="8">
        <v>1050.5</v>
      </c>
    </row>
    <row r="23" spans="1:163" s="21" customFormat="1">
      <c r="A23" s="21" t="s">
        <v>2688</v>
      </c>
      <c r="CB23" s="18"/>
      <c r="CC23" s="18"/>
      <c r="CD23" s="21">
        <v>409</v>
      </c>
      <c r="CE23" s="44"/>
      <c r="CR23" s="44"/>
      <c r="CX23" s="44"/>
      <c r="DP23" s="44"/>
      <c r="DQ23" s="44"/>
      <c r="ER23" s="44"/>
      <c r="EU23" s="44"/>
      <c r="EV23" s="19">
        <f t="shared" si="1"/>
        <v>409</v>
      </c>
      <c r="EW23" s="46">
        <v>409</v>
      </c>
    </row>
    <row r="24" spans="1:163" s="21" customFormat="1">
      <c r="A24" s="21" t="s">
        <v>153</v>
      </c>
      <c r="Z24" s="21">
        <v>195.45</v>
      </c>
      <c r="CB24" s="18"/>
      <c r="CC24" s="18"/>
      <c r="CE24" s="44"/>
      <c r="CR24" s="44"/>
      <c r="CX24" s="44"/>
      <c r="DP24" s="44"/>
      <c r="DQ24" s="44"/>
      <c r="ER24" s="44"/>
      <c r="EU24" s="44"/>
      <c r="EV24" s="19">
        <f t="shared" si="1"/>
        <v>195.45</v>
      </c>
      <c r="EW24" s="46">
        <v>195.45</v>
      </c>
    </row>
    <row r="25" spans="1:163" s="2" customFormat="1">
      <c r="A25" s="2" t="s">
        <v>29</v>
      </c>
      <c r="M25" s="2">
        <v>125.5</v>
      </c>
      <c r="N25" s="2">
        <v>8.5</v>
      </c>
      <c r="AY25" s="2">
        <v>88</v>
      </c>
      <c r="CB25" s="79"/>
      <c r="CC25" s="79"/>
      <c r="CE25" s="42"/>
      <c r="CI25" s="2">
        <v>2.5</v>
      </c>
      <c r="CR25" s="42"/>
      <c r="CX25" s="42"/>
      <c r="DE25" s="2">
        <v>2.5</v>
      </c>
      <c r="DP25" s="42"/>
      <c r="DQ25" s="42"/>
      <c r="ER25" s="42"/>
      <c r="EU25" s="42"/>
      <c r="EV25" s="19">
        <f t="shared" si="1"/>
        <v>227</v>
      </c>
      <c r="EW25" s="46">
        <v>227</v>
      </c>
      <c r="EX25" s="46">
        <f>SUM(EW2:EW25)</f>
        <v>24522.890000000003</v>
      </c>
    </row>
    <row r="26" spans="1:163" s="2" customFormat="1">
      <c r="A26" s="2" t="s">
        <v>2710</v>
      </c>
      <c r="C26" s="80" t="s">
        <v>2711</v>
      </c>
      <c r="D26" s="80"/>
      <c r="E26" s="80"/>
      <c r="F26" s="80"/>
      <c r="G26" s="80"/>
      <c r="H26" s="80"/>
      <c r="I26" s="80"/>
      <c r="J26" s="80"/>
      <c r="K26" s="80"/>
      <c r="L26" s="394" t="s">
        <v>2712</v>
      </c>
      <c r="M26" s="80"/>
      <c r="N26" s="80"/>
      <c r="O26" s="80"/>
      <c r="P26" s="80"/>
      <c r="Q26" s="80"/>
      <c r="R26" s="2" t="s">
        <v>2713</v>
      </c>
      <c r="CB26" s="79"/>
      <c r="CC26" s="79"/>
      <c r="CE26" s="42"/>
      <c r="CR26" s="42"/>
      <c r="CX26" s="42"/>
      <c r="DP26" s="42"/>
      <c r="DQ26" s="42"/>
      <c r="ER26" s="42"/>
      <c r="EU26" s="42"/>
      <c r="EV26" s="19"/>
      <c r="EW26" s="46"/>
      <c r="EX26" s="46"/>
    </row>
    <row r="27" spans="1:163" s="19" customFormat="1">
      <c r="A27" s="19" t="s">
        <v>33</v>
      </c>
      <c r="B27" s="19">
        <f>SUM(B2:B25)</f>
        <v>513.75</v>
      </c>
      <c r="C27" s="19">
        <f t="shared" ref="C27:BN27" si="2">SUM(C2:C25)</f>
        <v>26.25</v>
      </c>
      <c r="D27" s="19">
        <f t="shared" si="2"/>
        <v>156</v>
      </c>
      <c r="E27" s="19">
        <f t="shared" si="2"/>
        <v>19.75</v>
      </c>
      <c r="F27" s="19">
        <f t="shared" si="2"/>
        <v>503.5</v>
      </c>
      <c r="G27" s="19">
        <f t="shared" si="2"/>
        <v>9.75</v>
      </c>
      <c r="H27" s="19">
        <f t="shared" si="2"/>
        <v>1189.5</v>
      </c>
      <c r="I27" s="19">
        <f t="shared" si="2"/>
        <v>49.5</v>
      </c>
      <c r="J27" s="19">
        <f t="shared" si="2"/>
        <v>81.25</v>
      </c>
      <c r="K27" s="19">
        <f t="shared" si="2"/>
        <v>14.75</v>
      </c>
      <c r="L27" s="19">
        <f t="shared" si="2"/>
        <v>3.5</v>
      </c>
      <c r="M27" s="19">
        <f t="shared" si="2"/>
        <v>163.5</v>
      </c>
      <c r="N27" s="19">
        <f t="shared" si="2"/>
        <v>9.5</v>
      </c>
      <c r="O27" s="19">
        <f t="shared" si="2"/>
        <v>17</v>
      </c>
      <c r="P27" s="19">
        <f t="shared" si="2"/>
        <v>143.5</v>
      </c>
      <c r="Q27" s="19">
        <f t="shared" si="2"/>
        <v>10</v>
      </c>
      <c r="R27" s="19">
        <f t="shared" si="2"/>
        <v>68.5</v>
      </c>
      <c r="S27" s="19">
        <f t="shared" si="2"/>
        <v>15.25</v>
      </c>
      <c r="T27" s="19">
        <f t="shared" si="2"/>
        <v>0.5</v>
      </c>
      <c r="U27" s="19">
        <f t="shared" si="2"/>
        <v>2.5</v>
      </c>
      <c r="V27" s="19">
        <f t="shared" si="2"/>
        <v>160.75</v>
      </c>
      <c r="W27" s="19">
        <f t="shared" si="2"/>
        <v>0</v>
      </c>
      <c r="X27" s="19">
        <f t="shared" si="2"/>
        <v>133.75</v>
      </c>
      <c r="Y27" s="19">
        <f t="shared" si="2"/>
        <v>126.25</v>
      </c>
      <c r="Z27" s="19">
        <f t="shared" si="2"/>
        <v>320.45</v>
      </c>
      <c r="AA27" s="19">
        <f t="shared" si="2"/>
        <v>24.5</v>
      </c>
      <c r="AB27" s="19">
        <f t="shared" si="2"/>
        <v>31</v>
      </c>
      <c r="AC27" s="19">
        <f t="shared" si="2"/>
        <v>1.25</v>
      </c>
      <c r="AD27" s="19">
        <f t="shared" si="2"/>
        <v>348.5</v>
      </c>
      <c r="AE27" s="19">
        <f t="shared" si="2"/>
        <v>1054.5</v>
      </c>
      <c r="AF27" s="19">
        <f t="shared" si="2"/>
        <v>1755.75</v>
      </c>
      <c r="AG27" s="19">
        <f t="shared" si="2"/>
        <v>268</v>
      </c>
      <c r="AH27" s="19">
        <f t="shared" si="2"/>
        <v>152.5</v>
      </c>
      <c r="AI27" s="19">
        <f t="shared" si="2"/>
        <v>24.75</v>
      </c>
      <c r="AJ27" s="19">
        <f t="shared" si="2"/>
        <v>20</v>
      </c>
      <c r="AK27" s="19">
        <f t="shared" si="2"/>
        <v>3</v>
      </c>
      <c r="AL27" s="19">
        <f t="shared" si="2"/>
        <v>17.25</v>
      </c>
      <c r="AM27" s="19">
        <f t="shared" si="2"/>
        <v>42.75</v>
      </c>
      <c r="AN27" s="19">
        <f t="shared" si="2"/>
        <v>2</v>
      </c>
      <c r="AO27" s="19">
        <f t="shared" si="2"/>
        <v>216.38</v>
      </c>
      <c r="AP27" s="19">
        <f t="shared" si="2"/>
        <v>570.5</v>
      </c>
      <c r="AQ27" s="19">
        <f t="shared" si="2"/>
        <v>908.75</v>
      </c>
      <c r="AR27" s="19">
        <f t="shared" si="2"/>
        <v>265.25</v>
      </c>
      <c r="AS27" s="19">
        <f t="shared" si="2"/>
        <v>175</v>
      </c>
      <c r="AT27" s="19">
        <f t="shared" si="2"/>
        <v>107</v>
      </c>
      <c r="AU27" s="19">
        <f t="shared" si="2"/>
        <v>175.75</v>
      </c>
      <c r="AV27" s="19">
        <f t="shared" si="2"/>
        <v>0.75</v>
      </c>
      <c r="AW27" s="19">
        <f t="shared" si="2"/>
        <v>2.75</v>
      </c>
      <c r="AX27" s="19">
        <f t="shared" si="2"/>
        <v>31.25</v>
      </c>
      <c r="AY27" s="19">
        <f t="shared" si="2"/>
        <v>125.5</v>
      </c>
      <c r="AZ27" s="19">
        <f t="shared" si="2"/>
        <v>6.75</v>
      </c>
      <c r="BA27" s="19">
        <f t="shared" si="2"/>
        <v>192</v>
      </c>
      <c r="BB27" s="19">
        <f t="shared" si="2"/>
        <v>40.25</v>
      </c>
      <c r="BC27" s="19">
        <f t="shared" si="2"/>
        <v>1315</v>
      </c>
      <c r="BD27" s="19">
        <f t="shared" si="2"/>
        <v>38</v>
      </c>
      <c r="BE27" s="19">
        <f t="shared" si="2"/>
        <v>119.5</v>
      </c>
      <c r="BF27" s="19">
        <f t="shared" si="2"/>
        <v>613.25</v>
      </c>
      <c r="BG27" s="19">
        <f t="shared" si="2"/>
        <v>270.5</v>
      </c>
      <c r="BH27" s="19">
        <f t="shared" si="2"/>
        <v>280.75</v>
      </c>
      <c r="BI27" s="19">
        <f t="shared" si="2"/>
        <v>49.75</v>
      </c>
      <c r="BJ27" s="19">
        <f t="shared" si="2"/>
        <v>0.75</v>
      </c>
      <c r="BK27" s="19">
        <f t="shared" si="2"/>
        <v>203.25</v>
      </c>
      <c r="BL27" s="19">
        <f t="shared" si="2"/>
        <v>329.25</v>
      </c>
      <c r="BM27" s="19">
        <f t="shared" si="2"/>
        <v>49.5</v>
      </c>
      <c r="BN27" s="19">
        <f t="shared" si="2"/>
        <v>0.5</v>
      </c>
      <c r="BO27" s="19">
        <f t="shared" ref="BO27:DZ27" si="3">SUM(BO2:BO25)</f>
        <v>34.75</v>
      </c>
      <c r="BP27" s="19">
        <f t="shared" si="3"/>
        <v>210.5</v>
      </c>
      <c r="BQ27" s="19">
        <f t="shared" si="3"/>
        <v>113.38</v>
      </c>
      <c r="BR27" s="19">
        <f t="shared" si="3"/>
        <v>6.5</v>
      </c>
      <c r="BS27" s="19">
        <f t="shared" si="3"/>
        <v>9.25</v>
      </c>
      <c r="BT27" s="19">
        <f t="shared" si="3"/>
        <v>243.51999999999998</v>
      </c>
      <c r="BU27" s="19">
        <f t="shared" si="3"/>
        <v>198.25</v>
      </c>
      <c r="BV27" s="19">
        <f t="shared" si="3"/>
        <v>43</v>
      </c>
      <c r="BW27" s="19">
        <f t="shared" si="3"/>
        <v>41</v>
      </c>
      <c r="BX27" s="19">
        <f t="shared" si="3"/>
        <v>57.91</v>
      </c>
      <c r="BY27" s="19">
        <f t="shared" si="3"/>
        <v>101.25</v>
      </c>
      <c r="BZ27" s="19">
        <f t="shared" si="3"/>
        <v>1.75</v>
      </c>
      <c r="CA27" s="19">
        <f t="shared" si="3"/>
        <v>382.25</v>
      </c>
      <c r="CB27" s="79">
        <f t="shared" si="3"/>
        <v>1330.5</v>
      </c>
      <c r="CC27" s="79">
        <f t="shared" si="3"/>
        <v>813.25</v>
      </c>
      <c r="CD27" s="19">
        <f t="shared" si="3"/>
        <v>409.75</v>
      </c>
      <c r="CE27" s="42">
        <f t="shared" si="3"/>
        <v>405.5</v>
      </c>
      <c r="CF27" s="19">
        <f t="shared" si="3"/>
        <v>1.5</v>
      </c>
      <c r="CG27" s="19">
        <f t="shared" si="3"/>
        <v>2.75</v>
      </c>
      <c r="CH27" s="19">
        <f t="shared" si="3"/>
        <v>4</v>
      </c>
      <c r="CI27" s="19">
        <f t="shared" si="3"/>
        <v>2.5</v>
      </c>
      <c r="CJ27" s="19">
        <f t="shared" si="3"/>
        <v>31.25</v>
      </c>
      <c r="CK27" s="19">
        <f t="shared" si="3"/>
        <v>17</v>
      </c>
      <c r="CL27" s="19">
        <f t="shared" si="3"/>
        <v>2.25</v>
      </c>
      <c r="CM27" s="19">
        <f t="shared" si="3"/>
        <v>3.5</v>
      </c>
      <c r="CN27" s="19">
        <f t="shared" si="3"/>
        <v>2.25</v>
      </c>
      <c r="CO27" s="19">
        <f t="shared" si="3"/>
        <v>2.5</v>
      </c>
      <c r="CP27" s="19">
        <f t="shared" si="3"/>
        <v>0.5</v>
      </c>
      <c r="CQ27" s="19">
        <f t="shared" si="3"/>
        <v>25</v>
      </c>
      <c r="CR27" s="42">
        <f t="shared" si="3"/>
        <v>278.25</v>
      </c>
      <c r="CS27" s="19">
        <f t="shared" si="3"/>
        <v>7.25</v>
      </c>
      <c r="CT27" s="19">
        <f t="shared" si="3"/>
        <v>3.5</v>
      </c>
      <c r="CU27" s="19">
        <f t="shared" si="3"/>
        <v>0.5</v>
      </c>
      <c r="CV27" s="19">
        <f t="shared" si="3"/>
        <v>5</v>
      </c>
      <c r="CW27" s="19">
        <f t="shared" si="3"/>
        <v>5.75</v>
      </c>
      <c r="CX27" s="42">
        <f t="shared" si="3"/>
        <v>802</v>
      </c>
      <c r="CY27" s="19">
        <f t="shared" si="3"/>
        <v>4.25</v>
      </c>
      <c r="CZ27" s="19">
        <f t="shared" si="3"/>
        <v>2.25</v>
      </c>
      <c r="DA27" s="19">
        <f t="shared" si="3"/>
        <v>2.75</v>
      </c>
      <c r="DB27" s="19">
        <f t="shared" si="3"/>
        <v>0</v>
      </c>
      <c r="DC27" s="19">
        <f t="shared" si="3"/>
        <v>28.5</v>
      </c>
      <c r="DD27" s="19">
        <f t="shared" si="3"/>
        <v>2</v>
      </c>
      <c r="DE27" s="19">
        <f t="shared" si="3"/>
        <v>2.5</v>
      </c>
      <c r="DF27" s="19">
        <f t="shared" si="3"/>
        <v>0</v>
      </c>
      <c r="DG27" s="19">
        <f t="shared" si="3"/>
        <v>15.5</v>
      </c>
      <c r="DH27" s="19">
        <f t="shared" si="3"/>
        <v>1.5</v>
      </c>
      <c r="DI27" s="19">
        <f t="shared" si="3"/>
        <v>21</v>
      </c>
      <c r="DJ27" s="19">
        <f t="shared" si="3"/>
        <v>8.5</v>
      </c>
      <c r="DK27" s="19">
        <f t="shared" si="3"/>
        <v>3.5</v>
      </c>
      <c r="DL27" s="19">
        <f t="shared" si="3"/>
        <v>2.5</v>
      </c>
      <c r="DM27" s="19">
        <f t="shared" si="3"/>
        <v>11.25</v>
      </c>
      <c r="DN27" s="19">
        <f t="shared" si="3"/>
        <v>14.75</v>
      </c>
      <c r="DO27" s="19">
        <f t="shared" si="3"/>
        <v>10.75</v>
      </c>
      <c r="DP27" s="42">
        <f t="shared" si="3"/>
        <v>922.5</v>
      </c>
      <c r="DQ27" s="42">
        <f t="shared" si="3"/>
        <v>562</v>
      </c>
      <c r="DR27" s="19">
        <f t="shared" si="3"/>
        <v>13.25</v>
      </c>
      <c r="DS27" s="19">
        <f t="shared" si="3"/>
        <v>127.25</v>
      </c>
      <c r="DT27" s="19">
        <f t="shared" si="3"/>
        <v>151.25</v>
      </c>
      <c r="DU27" s="19">
        <f t="shared" si="3"/>
        <v>44.5</v>
      </c>
      <c r="DV27" s="19">
        <f t="shared" si="3"/>
        <v>81</v>
      </c>
      <c r="DW27" s="19">
        <f t="shared" si="3"/>
        <v>29.75</v>
      </c>
      <c r="DX27" s="19">
        <f t="shared" si="3"/>
        <v>26.75</v>
      </c>
      <c r="DY27" s="19">
        <f t="shared" si="3"/>
        <v>0.5</v>
      </c>
      <c r="DZ27" s="19">
        <f t="shared" si="3"/>
        <v>19</v>
      </c>
      <c r="EA27" s="19">
        <f t="shared" ref="EA27:EU27" si="4">SUM(EA2:EA25)</f>
        <v>10.75</v>
      </c>
      <c r="EB27" s="19">
        <f t="shared" si="4"/>
        <v>4.75</v>
      </c>
      <c r="EC27" s="19">
        <f t="shared" si="4"/>
        <v>8.75</v>
      </c>
      <c r="ED27" s="19">
        <f t="shared" si="4"/>
        <v>6.5</v>
      </c>
      <c r="EE27" s="19">
        <f t="shared" si="4"/>
        <v>236.75</v>
      </c>
      <c r="EF27" s="19">
        <f t="shared" si="4"/>
        <v>148.75</v>
      </c>
      <c r="EG27" s="19">
        <f t="shared" si="4"/>
        <v>25.75</v>
      </c>
      <c r="EH27" s="19">
        <f t="shared" si="4"/>
        <v>1.5</v>
      </c>
      <c r="EI27" s="19">
        <f t="shared" si="4"/>
        <v>0.75</v>
      </c>
      <c r="EJ27" s="19">
        <f t="shared" si="4"/>
        <v>56.5</v>
      </c>
      <c r="EK27" s="19">
        <f t="shared" si="4"/>
        <v>4.25</v>
      </c>
      <c r="EL27" s="19">
        <f t="shared" si="4"/>
        <v>9.5</v>
      </c>
      <c r="EM27" s="19">
        <f t="shared" si="4"/>
        <v>1.25</v>
      </c>
      <c r="EN27" s="19">
        <f t="shared" si="4"/>
        <v>28</v>
      </c>
      <c r="EO27" s="19">
        <f t="shared" si="4"/>
        <v>35.5</v>
      </c>
      <c r="EP27" s="19">
        <f t="shared" si="4"/>
        <v>1</v>
      </c>
      <c r="EQ27" s="19">
        <f t="shared" si="4"/>
        <v>18</v>
      </c>
      <c r="ER27" s="42">
        <f t="shared" si="4"/>
        <v>2332</v>
      </c>
      <c r="ES27" s="19">
        <f t="shared" si="4"/>
        <v>9.75</v>
      </c>
      <c r="ET27" s="19">
        <f t="shared" si="4"/>
        <v>0.75</v>
      </c>
      <c r="EU27" s="42">
        <f t="shared" si="4"/>
        <v>300.75</v>
      </c>
      <c r="EV27" s="19">
        <f t="shared" si="0"/>
        <v>24522.89</v>
      </c>
      <c r="EW27" s="41">
        <f>SUM(EV2:EV25)</f>
        <v>24522.890000000003</v>
      </c>
    </row>
    <row r="28" spans="1:163" s="8" customFormat="1">
      <c r="A28" s="22" t="s">
        <v>33</v>
      </c>
      <c r="B28" s="8">
        <v>510</v>
      </c>
      <c r="C28" s="8">
        <v>26.25</v>
      </c>
      <c r="D28" s="8">
        <v>156</v>
      </c>
      <c r="E28" s="8">
        <v>19.75</v>
      </c>
      <c r="F28" s="8">
        <v>503.5</v>
      </c>
      <c r="G28" s="8">
        <v>9.75</v>
      </c>
      <c r="H28" s="8">
        <v>1189.5</v>
      </c>
      <c r="I28" s="8">
        <v>49.5</v>
      </c>
      <c r="J28" s="8">
        <v>81.25</v>
      </c>
      <c r="K28" s="8">
        <v>14.75</v>
      </c>
      <c r="L28" s="8">
        <v>3.5</v>
      </c>
      <c r="M28" s="8">
        <v>163.5</v>
      </c>
      <c r="N28" s="8">
        <v>9.5</v>
      </c>
      <c r="O28" s="8">
        <v>17</v>
      </c>
      <c r="P28" s="8">
        <v>143.5</v>
      </c>
      <c r="Q28" s="8">
        <v>10</v>
      </c>
      <c r="R28" s="8">
        <v>68.5</v>
      </c>
      <c r="S28" s="8">
        <v>15.25</v>
      </c>
      <c r="T28" s="8">
        <v>0.5</v>
      </c>
      <c r="U28" s="8">
        <v>2.5</v>
      </c>
      <c r="V28" s="8">
        <v>160.75</v>
      </c>
      <c r="W28" s="8">
        <v>3.75</v>
      </c>
      <c r="X28" s="8">
        <v>133.75</v>
      </c>
      <c r="Y28" s="8">
        <v>126.25</v>
      </c>
      <c r="Z28" s="8">
        <v>320.45</v>
      </c>
      <c r="AA28" s="8">
        <v>24.5</v>
      </c>
      <c r="AB28" s="8">
        <v>31</v>
      </c>
      <c r="AC28" s="8">
        <v>1.25</v>
      </c>
      <c r="AD28" s="8">
        <v>348.5</v>
      </c>
      <c r="AE28" s="8">
        <v>1054.5</v>
      </c>
      <c r="AF28" s="8">
        <v>1755.75</v>
      </c>
      <c r="AG28" s="8">
        <v>268</v>
      </c>
      <c r="AH28" s="8">
        <v>152.5</v>
      </c>
      <c r="AI28" s="8">
        <v>24.75</v>
      </c>
      <c r="AJ28" s="8">
        <v>20</v>
      </c>
      <c r="AK28" s="8">
        <v>3</v>
      </c>
      <c r="AL28" s="8">
        <v>17.25</v>
      </c>
      <c r="AM28" s="8">
        <v>42.75</v>
      </c>
      <c r="AN28" s="8">
        <v>2</v>
      </c>
      <c r="AO28" s="8">
        <v>216.38</v>
      </c>
      <c r="AP28" s="8">
        <v>570.5</v>
      </c>
      <c r="AQ28" s="8">
        <v>908.75</v>
      </c>
      <c r="AR28" s="8">
        <v>265.25</v>
      </c>
      <c r="AS28" s="8">
        <v>175</v>
      </c>
      <c r="AT28" s="8">
        <v>107</v>
      </c>
      <c r="AU28" s="8">
        <v>175.75</v>
      </c>
      <c r="AV28" s="8">
        <v>0.75</v>
      </c>
      <c r="AW28" s="8">
        <v>2.75</v>
      </c>
      <c r="AX28" s="8">
        <v>31.25</v>
      </c>
      <c r="AY28" s="8">
        <v>125.5</v>
      </c>
      <c r="AZ28" s="8">
        <v>6.75</v>
      </c>
      <c r="BA28" s="8">
        <v>192</v>
      </c>
      <c r="BB28" s="8">
        <v>40.25</v>
      </c>
      <c r="BC28" s="8">
        <v>1315</v>
      </c>
      <c r="BD28" s="8">
        <v>38</v>
      </c>
      <c r="BE28" s="8">
        <v>119.5</v>
      </c>
      <c r="BF28" s="8">
        <v>613.25</v>
      </c>
      <c r="BG28" s="8">
        <v>270.5</v>
      </c>
      <c r="BH28" s="8">
        <v>280.75</v>
      </c>
      <c r="BI28" s="8">
        <v>49.75</v>
      </c>
      <c r="BJ28" s="8">
        <v>0.75</v>
      </c>
      <c r="BK28" s="8">
        <v>203.25</v>
      </c>
      <c r="BL28" s="8">
        <v>329.25</v>
      </c>
      <c r="BM28" s="8">
        <v>49.5</v>
      </c>
      <c r="BN28" s="8">
        <v>0.5</v>
      </c>
      <c r="BO28" s="8">
        <v>34.75</v>
      </c>
      <c r="BP28" s="8">
        <v>210.5</v>
      </c>
      <c r="BQ28" s="8">
        <v>113.38</v>
      </c>
      <c r="BR28" s="8">
        <v>6.5</v>
      </c>
      <c r="BS28" s="8">
        <v>9.25</v>
      </c>
      <c r="BT28" s="8">
        <v>243.51999999999998</v>
      </c>
      <c r="BU28" s="8">
        <v>198.25</v>
      </c>
      <c r="BV28" s="8">
        <v>43</v>
      </c>
      <c r="BW28" s="8">
        <v>41</v>
      </c>
      <c r="BX28" s="8">
        <v>57.91</v>
      </c>
      <c r="BY28" s="8">
        <v>101.25</v>
      </c>
      <c r="BZ28" s="8">
        <v>1.75</v>
      </c>
      <c r="CA28" s="8">
        <v>382.25</v>
      </c>
      <c r="CB28" s="348">
        <v>1330.5</v>
      </c>
      <c r="CC28" s="348">
        <v>813.25</v>
      </c>
      <c r="CD28" s="53">
        <v>409.75</v>
      </c>
      <c r="CE28" s="45">
        <v>405.5</v>
      </c>
      <c r="CF28" s="8">
        <v>1.5</v>
      </c>
      <c r="CG28" s="8">
        <v>2.75</v>
      </c>
      <c r="CH28" s="8">
        <v>4</v>
      </c>
      <c r="CI28" s="8">
        <v>2.5</v>
      </c>
      <c r="CJ28" s="8">
        <v>31.25</v>
      </c>
      <c r="CK28" s="8">
        <v>17</v>
      </c>
      <c r="CL28" s="8">
        <v>2.25</v>
      </c>
      <c r="CM28" s="8">
        <v>3.5</v>
      </c>
      <c r="CN28" s="8">
        <v>2.25</v>
      </c>
      <c r="CO28" s="8">
        <v>2.5</v>
      </c>
      <c r="CP28" s="8">
        <v>0.5</v>
      </c>
      <c r="CQ28" s="8">
        <v>25</v>
      </c>
      <c r="CR28" s="45">
        <v>278.25</v>
      </c>
      <c r="CS28" s="8">
        <v>7.25</v>
      </c>
      <c r="CT28" s="8">
        <v>3.5</v>
      </c>
      <c r="CU28" s="8">
        <v>0.5</v>
      </c>
      <c r="CV28" s="8">
        <v>5</v>
      </c>
      <c r="CW28" s="8">
        <v>5.75</v>
      </c>
      <c r="CX28" s="45">
        <v>802</v>
      </c>
      <c r="CY28" s="8">
        <v>4.25</v>
      </c>
      <c r="CZ28" s="8">
        <v>2.25</v>
      </c>
      <c r="DA28" s="8">
        <v>2.75</v>
      </c>
      <c r="DB28" s="8">
        <v>0</v>
      </c>
      <c r="DC28" s="8">
        <v>28.5</v>
      </c>
      <c r="DD28" s="8">
        <v>2</v>
      </c>
      <c r="DE28" s="8">
        <v>2.5</v>
      </c>
      <c r="DF28" s="8">
        <v>0</v>
      </c>
      <c r="DG28" s="8">
        <v>15.5</v>
      </c>
      <c r="DH28" s="8">
        <v>1.5</v>
      </c>
      <c r="DI28" s="8">
        <v>21</v>
      </c>
      <c r="DJ28" s="8">
        <v>8.5</v>
      </c>
      <c r="DK28" s="8">
        <v>3.5</v>
      </c>
      <c r="DL28" s="8">
        <v>2.5</v>
      </c>
      <c r="DM28" s="8">
        <v>11.25</v>
      </c>
      <c r="DN28" s="8">
        <v>14.75</v>
      </c>
      <c r="DO28" s="8">
        <v>10.75</v>
      </c>
      <c r="DP28" s="45">
        <v>922.5</v>
      </c>
      <c r="DQ28" s="45">
        <v>562</v>
      </c>
      <c r="DR28" s="8">
        <v>13.25</v>
      </c>
      <c r="DS28" s="8">
        <v>127.25</v>
      </c>
      <c r="DT28" s="8">
        <v>151.25</v>
      </c>
      <c r="DU28" s="8">
        <v>44.5</v>
      </c>
      <c r="DV28" s="8">
        <v>81</v>
      </c>
      <c r="DW28" s="8">
        <v>29.75</v>
      </c>
      <c r="DX28" s="8">
        <v>26.75</v>
      </c>
      <c r="DY28" s="8">
        <v>0.5</v>
      </c>
      <c r="DZ28" s="8">
        <v>19</v>
      </c>
      <c r="EA28" s="8">
        <v>10.75</v>
      </c>
      <c r="EB28" s="8">
        <v>4.75</v>
      </c>
      <c r="EC28" s="8">
        <v>8.75</v>
      </c>
      <c r="ED28" s="8">
        <v>6.5</v>
      </c>
      <c r="EE28" s="8">
        <v>236.75</v>
      </c>
      <c r="EF28" s="8">
        <v>148.75</v>
      </c>
      <c r="EG28" s="8">
        <v>25.75</v>
      </c>
      <c r="EH28" s="8">
        <v>1.5</v>
      </c>
      <c r="EI28" s="8">
        <v>0.75</v>
      </c>
      <c r="EJ28" s="8">
        <v>56.5</v>
      </c>
      <c r="EK28" s="8">
        <v>4.25</v>
      </c>
      <c r="EL28" s="8">
        <v>9.5</v>
      </c>
      <c r="EM28" s="8">
        <v>1.25</v>
      </c>
      <c r="EN28" s="8">
        <v>28</v>
      </c>
      <c r="EO28" s="8">
        <v>35.5</v>
      </c>
      <c r="EP28" s="8">
        <v>1</v>
      </c>
      <c r="EQ28" s="8">
        <v>18</v>
      </c>
      <c r="ER28" s="45">
        <v>2332</v>
      </c>
      <c r="ES28" s="8">
        <v>9.75</v>
      </c>
      <c r="ET28" s="8">
        <v>0.75</v>
      </c>
      <c r="EU28" s="45">
        <v>300.75</v>
      </c>
      <c r="EV28" s="8">
        <v>24522.89</v>
      </c>
      <c r="EW28" s="9" t="s">
        <v>154</v>
      </c>
    </row>
    <row r="29" spans="1:163" s="8" customFormat="1">
      <c r="A29" s="22"/>
    </row>
    <row r="31" spans="1:163">
      <c r="A31" s="7" t="s">
        <v>144</v>
      </c>
    </row>
    <row r="32" spans="1:163" s="79" customFormat="1">
      <c r="A32" s="79" t="s">
        <v>26</v>
      </c>
      <c r="DB32" s="79">
        <v>0.75</v>
      </c>
      <c r="DF32" s="79">
        <v>3.75</v>
      </c>
      <c r="EV32" s="79">
        <f>SUM(B32:EU32)</f>
        <v>4.5</v>
      </c>
    </row>
    <row r="33" spans="1:154" s="79" customFormat="1">
      <c r="A33" s="79" t="s">
        <v>30</v>
      </c>
      <c r="BE33" s="79">
        <v>28.5</v>
      </c>
      <c r="DM33" s="79">
        <v>14.25</v>
      </c>
      <c r="EV33" s="79">
        <f>SUM(B33:EU33)</f>
        <v>42.75</v>
      </c>
    </row>
    <row r="36" spans="1:154">
      <c r="EX36">
        <f>EV27-EU27-ER27-DQ27-DP27-CX27-CR27-CE27-CB27</f>
        <v>17589.39</v>
      </c>
    </row>
    <row r="38" spans="1:154">
      <c r="A38" s="10" t="s">
        <v>145</v>
      </c>
      <c r="B38" s="11">
        <v>0</v>
      </c>
      <c r="C38" t="s">
        <v>146</v>
      </c>
    </row>
    <row r="41" spans="1:154">
      <c r="A41" s="12" t="s">
        <v>147</v>
      </c>
      <c r="B41" s="13"/>
    </row>
    <row r="42" spans="1:154">
      <c r="A42" s="14" t="s">
        <v>148</v>
      </c>
      <c r="B42" s="15" t="s">
        <v>149</v>
      </c>
    </row>
    <row r="43" spans="1:154">
      <c r="B43" s="2" t="s">
        <v>150</v>
      </c>
    </row>
    <row r="44" spans="1:154">
      <c r="A44" s="3"/>
      <c r="B44" s="16" t="s">
        <v>151</v>
      </c>
    </row>
    <row r="45" spans="1:154">
      <c r="A45" s="17"/>
      <c r="B45" s="18" t="s">
        <v>152</v>
      </c>
    </row>
    <row r="46" spans="1:154">
      <c r="B46" s="42" t="s">
        <v>172</v>
      </c>
    </row>
    <row r="50" spans="1:11">
      <c r="A50" s="7" t="s">
        <v>175</v>
      </c>
      <c r="C50" s="23" t="s">
        <v>176</v>
      </c>
      <c r="F50" s="24">
        <v>1900</v>
      </c>
    </row>
    <row r="52" spans="1:11">
      <c r="A52" s="48" t="s">
        <v>177</v>
      </c>
    </row>
    <row r="53" spans="1:11">
      <c r="A53" s="49" t="s">
        <v>178</v>
      </c>
      <c r="C53" s="26">
        <f>EV33</f>
        <v>42.75</v>
      </c>
      <c r="I53" s="28">
        <f>C53/$F$50</f>
        <v>2.2499999999999999E-2</v>
      </c>
    </row>
    <row r="54" spans="1:11">
      <c r="A54" s="49" t="s">
        <v>179</v>
      </c>
      <c r="C54" s="26">
        <f>EV32</f>
        <v>4.5</v>
      </c>
      <c r="I54" s="28">
        <f t="shared" ref="I54:I55" si="5">C54/$F$50</f>
        <v>2.3684210526315791E-3</v>
      </c>
    </row>
    <row r="55" spans="1:11">
      <c r="A55" s="49" t="s">
        <v>180</v>
      </c>
      <c r="C55" s="26">
        <v>165</v>
      </c>
      <c r="I55" s="28">
        <f t="shared" si="5"/>
        <v>8.6842105263157901E-2</v>
      </c>
    </row>
    <row r="56" spans="1:11">
      <c r="A56" s="50" t="s">
        <v>181</v>
      </c>
      <c r="C56" s="51">
        <f>SUM(C53:C55)</f>
        <v>212.25</v>
      </c>
      <c r="H56" t="s">
        <v>182</v>
      </c>
      <c r="I56" s="52">
        <f>SUM(I53:I55)</f>
        <v>0.11171052631578948</v>
      </c>
      <c r="J56" s="53">
        <f>C56/F50</f>
        <v>0.11171052631578947</v>
      </c>
      <c r="K56" s="54" t="s">
        <v>183</v>
      </c>
    </row>
    <row r="58" spans="1:11">
      <c r="A58" s="55" t="s">
        <v>184</v>
      </c>
    </row>
    <row r="59" spans="1:11">
      <c r="A59" s="56" t="s">
        <v>185</v>
      </c>
      <c r="C59" s="271">
        <f>G71</f>
        <v>5209.5</v>
      </c>
      <c r="D59" s="58" t="s">
        <v>186</v>
      </c>
      <c r="H59" t="s">
        <v>187</v>
      </c>
      <c r="I59" s="28">
        <f>C59/$F$50</f>
        <v>2.7418421052631579</v>
      </c>
    </row>
    <row r="60" spans="1:11">
      <c r="A60" s="56" t="s">
        <v>188</v>
      </c>
      <c r="C60" s="57">
        <f>E79</f>
        <v>4522.5</v>
      </c>
      <c r="D60" s="58" t="s">
        <v>189</v>
      </c>
      <c r="I60" s="28">
        <f>C60/$F$50</f>
        <v>2.3802631578947366</v>
      </c>
    </row>
    <row r="61" spans="1:11">
      <c r="A61" s="56" t="s">
        <v>179</v>
      </c>
      <c r="C61" s="57">
        <v>0</v>
      </c>
      <c r="I61" s="28">
        <f>C61/$F$50</f>
        <v>0</v>
      </c>
    </row>
    <row r="62" spans="1:11">
      <c r="A62" s="59" t="s">
        <v>190</v>
      </c>
      <c r="C62" s="52">
        <f>SUM(C59:C61)</f>
        <v>9732</v>
      </c>
      <c r="H62" t="s">
        <v>182</v>
      </c>
      <c r="I62" s="52">
        <f>SUM(I59:I61)</f>
        <v>5.1221052631578949</v>
      </c>
      <c r="J62" s="53">
        <f>C62/F50</f>
        <v>5.1221052631578949</v>
      </c>
      <c r="K62" s="54" t="s">
        <v>191</v>
      </c>
    </row>
    <row r="63" spans="1:11">
      <c r="A63" s="60"/>
    </row>
    <row r="64" spans="1:11">
      <c r="A64" s="61" t="s">
        <v>192</v>
      </c>
      <c r="C64" s="51">
        <f>C62+C56</f>
        <v>9944.25</v>
      </c>
      <c r="I64" s="52">
        <f>I62+I56</f>
        <v>5.2338157894736845</v>
      </c>
      <c r="J64" s="53">
        <f>C64/F50</f>
        <v>5.2338157894736845</v>
      </c>
      <c r="K64" s="54" t="s">
        <v>193</v>
      </c>
    </row>
    <row r="65" spans="1:9">
      <c r="B65" t="s">
        <v>2708</v>
      </c>
      <c r="C65" s="51">
        <f>C64-C55</f>
        <v>9779.25</v>
      </c>
      <c r="I65" s="52">
        <f>I64-I55</f>
        <v>5.1469736842105265</v>
      </c>
    </row>
    <row r="67" spans="1:9">
      <c r="A67" s="47" t="s">
        <v>174</v>
      </c>
      <c r="B67" s="62"/>
      <c r="C67" s="58"/>
      <c r="D67" s="58"/>
      <c r="E67" s="58"/>
      <c r="F67" s="58"/>
      <c r="G67" s="58"/>
      <c r="H67" s="58"/>
    </row>
    <row r="68" spans="1:9">
      <c r="A68" s="63"/>
      <c r="B68" s="58"/>
      <c r="C68" s="58"/>
      <c r="D68" s="58"/>
      <c r="E68" s="58"/>
      <c r="F68" s="58"/>
      <c r="G68" s="58"/>
      <c r="H68" s="58"/>
    </row>
    <row r="69" spans="1:9">
      <c r="A69" s="63" t="s">
        <v>194</v>
      </c>
    </row>
    <row r="70" spans="1:9">
      <c r="F70" t="s">
        <v>195</v>
      </c>
    </row>
    <row r="71" spans="1:9">
      <c r="A71" s="10"/>
      <c r="B71" s="64">
        <f>'Heures audio produites-recap'!E36</f>
        <v>72.3576388888889</v>
      </c>
      <c r="C71" s="358" t="s">
        <v>196</v>
      </c>
      <c r="D71" s="359"/>
      <c r="E71" s="359"/>
      <c r="F71" s="64">
        <f>B71*3</f>
        <v>217.07291666666669</v>
      </c>
      <c r="G71" s="65">
        <v>5209.5</v>
      </c>
      <c r="H71" s="66" t="s">
        <v>197</v>
      </c>
    </row>
    <row r="72" spans="1:9">
      <c r="B72" s="67">
        <f>'Heures audio produites-recap'!E13</f>
        <v>68.809722222222206</v>
      </c>
      <c r="C72" s="68" t="s">
        <v>198</v>
      </c>
      <c r="D72" s="69"/>
      <c r="E72" s="69"/>
      <c r="F72" s="64"/>
      <c r="G72" s="69"/>
      <c r="H72" s="69"/>
    </row>
    <row r="73" spans="1:9">
      <c r="B73" s="64">
        <f>'Heures audio produites-recap'!E11</f>
        <v>38.601388888888856</v>
      </c>
      <c r="C73" s="360" t="s">
        <v>199</v>
      </c>
      <c r="D73" s="359"/>
      <c r="E73" s="359"/>
      <c r="F73" s="64"/>
      <c r="G73" s="69"/>
      <c r="H73" s="69"/>
    </row>
    <row r="74" spans="1:9">
      <c r="B74" s="70">
        <v>0</v>
      </c>
      <c r="C74" s="360" t="s">
        <v>200</v>
      </c>
      <c r="D74" s="359"/>
      <c r="E74" s="359"/>
      <c r="F74" s="71"/>
      <c r="G74" s="69"/>
      <c r="H74" s="69"/>
    </row>
    <row r="75" spans="1:9">
      <c r="A75" s="72"/>
      <c r="B75" s="73"/>
      <c r="C75" s="69"/>
      <c r="D75" s="69"/>
      <c r="E75" s="69"/>
      <c r="F75" s="74"/>
      <c r="G75" s="75"/>
      <c r="H75" s="76"/>
    </row>
    <row r="76" spans="1:9">
      <c r="A76" s="72"/>
      <c r="B76" s="77"/>
      <c r="C76" s="77"/>
      <c r="D76" s="77"/>
      <c r="E76" s="77"/>
      <c r="F76" s="77"/>
      <c r="G76" s="77"/>
      <c r="H76" s="77"/>
    </row>
    <row r="77" spans="1:9">
      <c r="A77" s="17" t="s">
        <v>201</v>
      </c>
      <c r="B77" s="58"/>
      <c r="C77" s="58"/>
      <c r="D77" s="58"/>
      <c r="E77" s="58"/>
      <c r="F77" s="58"/>
      <c r="G77" s="58"/>
      <c r="H77" s="58"/>
    </row>
    <row r="78" spans="1:9">
      <c r="A78" s="72"/>
      <c r="B78" s="77"/>
      <c r="C78" s="77"/>
      <c r="D78" s="77"/>
      <c r="E78" s="77"/>
      <c r="F78" s="77"/>
      <c r="G78" s="77"/>
      <c r="H78" s="77"/>
    </row>
    <row r="79" spans="1:9">
      <c r="A79" s="72"/>
      <c r="B79" s="80">
        <f>'[1]Cumul trimestriels'!$E$105</f>
        <v>50250</v>
      </c>
      <c r="C79" s="273">
        <v>50250</v>
      </c>
      <c r="D79" s="58"/>
      <c r="E79" s="78">
        <f>B79*0.09</f>
        <v>4522.5</v>
      </c>
      <c r="F79" s="58" t="s">
        <v>202</v>
      </c>
      <c r="G79" s="58"/>
      <c r="H79" s="58"/>
    </row>
  </sheetData>
  <mergeCells count="3">
    <mergeCell ref="C71:E71"/>
    <mergeCell ref="C73:E73"/>
    <mergeCell ref="C74:E74"/>
  </mergeCells>
  <hyperlinks>
    <hyperlink ref="FK4" r:id="rId1"/>
    <hyperlink ref="FJ8" r:id="rId2"/>
    <hyperlink ref="L26" r:id="rId3"/>
  </hyperlinks>
  <pageMargins left="0.7" right="0.7" top="0.75" bottom="0.75" header="0.3" footer="0.3"/>
  <pageSetup paperSize="9" orientation="portrait" horizontalDpi="4294967295" verticalDpi="4294967295"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>
  <dimension ref="A1:FL126"/>
  <sheetViews>
    <sheetView zoomScale="84" zoomScaleNormal="84" workbookViewId="0">
      <pane xSplit="1" ySplit="1" topLeftCell="ES35" activePane="bottomRight" state="frozen"/>
      <selection pane="topRight" activeCell="B1" sqref="B1"/>
      <selection pane="bottomLeft" activeCell="A2" sqref="A2"/>
      <selection pane="bottomRight" activeCell="FF69" sqref="FF69"/>
    </sheetView>
  </sheetViews>
  <sheetFormatPr baseColWidth="10" defaultRowHeight="15"/>
  <cols>
    <col min="1" max="1" width="78.28515625" style="1" customWidth="1"/>
    <col min="10" max="10" width="11.5703125" bestFit="1" customWidth="1"/>
    <col min="20" max="21" width="11.42578125" style="34"/>
    <col min="63" max="63" width="11.42578125" style="34"/>
    <col min="95" max="95" width="11.42578125" style="34"/>
    <col min="150" max="150" width="14.140625" customWidth="1"/>
    <col min="156" max="156" width="47.140625" customWidth="1"/>
    <col min="159" max="159" width="18.5703125" customWidth="1"/>
    <col min="161" max="161" width="10.7109375" customWidth="1"/>
    <col min="165" max="165" width="13" customWidth="1"/>
  </cols>
  <sheetData>
    <row r="1" spans="1:168" s="1" customFormat="1">
      <c r="A1" s="1" t="s">
        <v>0</v>
      </c>
      <c r="B1" s="1">
        <v>1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>
        <v>13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>
        <v>16</v>
      </c>
      <c r="P1" s="1" t="s">
        <v>45</v>
      </c>
      <c r="Q1" s="1" t="s">
        <v>46</v>
      </c>
      <c r="R1" s="1">
        <v>17</v>
      </c>
      <c r="S1" s="1" t="s">
        <v>47</v>
      </c>
      <c r="T1" s="310" t="s">
        <v>48</v>
      </c>
      <c r="U1" s="310" t="s">
        <v>49</v>
      </c>
      <c r="V1" s="1">
        <v>19</v>
      </c>
      <c r="W1" s="1" t="s">
        <v>50</v>
      </c>
      <c r="X1" s="308">
        <v>2</v>
      </c>
      <c r="Y1" s="308">
        <v>21</v>
      </c>
      <c r="Z1" s="308">
        <v>24</v>
      </c>
      <c r="AA1" s="308">
        <v>27</v>
      </c>
      <c r="AB1" s="1">
        <v>29</v>
      </c>
      <c r="AC1" s="1" t="s">
        <v>51</v>
      </c>
      <c r="AD1" s="1">
        <v>4</v>
      </c>
      <c r="AE1" s="1" t="s">
        <v>52</v>
      </c>
      <c r="AF1" s="1" t="s">
        <v>53</v>
      </c>
      <c r="AG1" s="1" t="s">
        <v>54</v>
      </c>
      <c r="AH1" s="1">
        <v>44</v>
      </c>
      <c r="AI1" s="1">
        <v>45</v>
      </c>
      <c r="AJ1" s="1" t="s">
        <v>55</v>
      </c>
      <c r="AK1" s="1" t="s">
        <v>56</v>
      </c>
      <c r="AL1" s="1" t="s">
        <v>57</v>
      </c>
      <c r="AM1" s="1">
        <v>47</v>
      </c>
      <c r="AN1" s="1" t="s">
        <v>58</v>
      </c>
      <c r="AO1" s="1">
        <v>49</v>
      </c>
      <c r="AP1" s="1">
        <v>5</v>
      </c>
      <c r="AQ1" s="1">
        <v>51</v>
      </c>
      <c r="AR1" s="1">
        <v>52</v>
      </c>
      <c r="AS1" s="1">
        <v>53</v>
      </c>
      <c r="AT1" s="1">
        <v>54</v>
      </c>
      <c r="AU1" s="1">
        <v>55</v>
      </c>
      <c r="AV1" s="1" t="s">
        <v>59</v>
      </c>
      <c r="AW1" s="1" t="s">
        <v>60</v>
      </c>
      <c r="AX1" s="1" t="s">
        <v>61</v>
      </c>
      <c r="AY1" s="1">
        <v>56</v>
      </c>
      <c r="AZ1" s="1" t="s">
        <v>62</v>
      </c>
      <c r="BA1" s="1">
        <v>6</v>
      </c>
      <c r="BB1" s="1">
        <v>60</v>
      </c>
      <c r="BC1" s="1">
        <v>61</v>
      </c>
      <c r="BD1" s="1">
        <v>62</v>
      </c>
      <c r="BE1" s="1">
        <v>63</v>
      </c>
      <c r="BF1" s="1">
        <v>64</v>
      </c>
      <c r="BG1" s="1" t="s">
        <v>63</v>
      </c>
      <c r="BH1" s="1" t="s">
        <v>64</v>
      </c>
      <c r="BI1" s="1" t="s">
        <v>65</v>
      </c>
      <c r="BJ1" s="1">
        <v>67</v>
      </c>
      <c r="BK1" s="310">
        <v>68</v>
      </c>
      <c r="BL1" s="1">
        <v>69</v>
      </c>
      <c r="BM1" s="1" t="s">
        <v>66</v>
      </c>
      <c r="BN1" s="1" t="s">
        <v>67</v>
      </c>
      <c r="BO1" s="1" t="s">
        <v>68</v>
      </c>
      <c r="BP1" s="308">
        <v>71</v>
      </c>
      <c r="BQ1" s="308">
        <v>72</v>
      </c>
      <c r="BR1" s="308" t="s">
        <v>69</v>
      </c>
      <c r="BS1" s="308" t="s">
        <v>70</v>
      </c>
      <c r="BT1" s="308">
        <v>73</v>
      </c>
      <c r="BU1" s="1" t="s">
        <v>71</v>
      </c>
      <c r="BV1" s="308">
        <v>74</v>
      </c>
      <c r="BW1" s="308">
        <v>75</v>
      </c>
      <c r="BX1" s="1">
        <v>76</v>
      </c>
      <c r="BY1" s="1" t="s">
        <v>72</v>
      </c>
      <c r="BZ1" s="1" t="s">
        <v>73</v>
      </c>
      <c r="CA1" s="308">
        <v>77</v>
      </c>
      <c r="CB1" s="1">
        <v>78</v>
      </c>
      <c r="CC1" s="1">
        <v>79</v>
      </c>
      <c r="CD1" s="1" t="s">
        <v>74</v>
      </c>
      <c r="CE1" s="1" t="s">
        <v>75</v>
      </c>
      <c r="CF1" s="1" t="s">
        <v>76</v>
      </c>
      <c r="CG1" s="1" t="s">
        <v>77</v>
      </c>
      <c r="CH1" s="1" t="s">
        <v>78</v>
      </c>
      <c r="CI1" s="1" t="s">
        <v>79</v>
      </c>
      <c r="CJ1" s="1" t="s">
        <v>80</v>
      </c>
      <c r="CK1" s="1" t="s">
        <v>81</v>
      </c>
      <c r="CL1" s="1" t="s">
        <v>82</v>
      </c>
      <c r="CM1" s="1" t="s">
        <v>83</v>
      </c>
      <c r="CN1" s="1" t="s">
        <v>84</v>
      </c>
      <c r="CO1" s="1" t="s">
        <v>85</v>
      </c>
      <c r="CP1" s="1" t="s">
        <v>86</v>
      </c>
      <c r="CQ1" s="310" t="s">
        <v>87</v>
      </c>
      <c r="CR1" s="1" t="s">
        <v>88</v>
      </c>
      <c r="CS1" s="1" t="s">
        <v>89</v>
      </c>
      <c r="CT1" s="1" t="s">
        <v>90</v>
      </c>
      <c r="CU1" s="1" t="s">
        <v>91</v>
      </c>
      <c r="CV1" s="1" t="s">
        <v>92</v>
      </c>
      <c r="CW1" s="1" t="s">
        <v>93</v>
      </c>
      <c r="CX1" s="1" t="s">
        <v>94</v>
      </c>
      <c r="CY1" s="1" t="s">
        <v>95</v>
      </c>
      <c r="CZ1" s="1" t="s">
        <v>96</v>
      </c>
      <c r="DA1" s="1" t="s">
        <v>97</v>
      </c>
      <c r="DB1" s="1" t="s">
        <v>98</v>
      </c>
      <c r="DC1" s="1" t="s">
        <v>99</v>
      </c>
      <c r="DD1" s="1" t="s">
        <v>100</v>
      </c>
      <c r="DE1" s="1" t="s">
        <v>101</v>
      </c>
      <c r="DF1" s="1" t="s">
        <v>102</v>
      </c>
      <c r="DG1" s="1" t="s">
        <v>103</v>
      </c>
      <c r="DH1" s="1" t="s">
        <v>104</v>
      </c>
      <c r="DI1" s="1" t="s">
        <v>105</v>
      </c>
      <c r="DJ1" s="1" t="s">
        <v>106</v>
      </c>
      <c r="DK1" s="1" t="s">
        <v>107</v>
      </c>
      <c r="DL1" s="1" t="s">
        <v>108</v>
      </c>
      <c r="DM1" s="1" t="s">
        <v>109</v>
      </c>
      <c r="DN1" s="1" t="s">
        <v>110</v>
      </c>
      <c r="DO1" s="1" t="s">
        <v>111</v>
      </c>
      <c r="DP1" s="1" t="s">
        <v>112</v>
      </c>
      <c r="DQ1" s="1" t="s">
        <v>113</v>
      </c>
      <c r="DR1" s="1" t="s">
        <v>114</v>
      </c>
      <c r="DS1" s="1" t="s">
        <v>115</v>
      </c>
      <c r="DT1" s="1" t="s">
        <v>116</v>
      </c>
      <c r="DU1" s="1" t="s">
        <v>117</v>
      </c>
      <c r="DV1" s="1" t="s">
        <v>118</v>
      </c>
      <c r="DW1" s="1" t="s">
        <v>119</v>
      </c>
      <c r="DX1" s="1" t="s">
        <v>120</v>
      </c>
      <c r="DY1" s="1" t="s">
        <v>121</v>
      </c>
      <c r="DZ1" s="1" t="s">
        <v>122</v>
      </c>
      <c r="EA1" s="308" t="s">
        <v>123</v>
      </c>
      <c r="EB1" s="1" t="s">
        <v>124</v>
      </c>
      <c r="EC1" s="1" t="s">
        <v>125</v>
      </c>
      <c r="ED1" s="1" t="s">
        <v>126</v>
      </c>
      <c r="EE1" s="1" t="s">
        <v>127</v>
      </c>
      <c r="EF1" s="1" t="s">
        <v>128</v>
      </c>
      <c r="EG1" s="1" t="s">
        <v>129</v>
      </c>
      <c r="EH1" s="1" t="s">
        <v>130</v>
      </c>
      <c r="EI1" s="1" t="s">
        <v>131</v>
      </c>
      <c r="EJ1" s="1" t="s">
        <v>132</v>
      </c>
      <c r="EK1" s="1" t="s">
        <v>133</v>
      </c>
      <c r="EL1" s="308" t="s">
        <v>134</v>
      </c>
      <c r="EM1" s="1" t="s">
        <v>135</v>
      </c>
      <c r="EN1" s="1" t="s">
        <v>136</v>
      </c>
      <c r="EO1" s="1" t="s">
        <v>137</v>
      </c>
      <c r="EP1" s="1" t="s">
        <v>138</v>
      </c>
      <c r="EQ1" s="1" t="s">
        <v>139</v>
      </c>
      <c r="ER1" s="1" t="s">
        <v>140</v>
      </c>
      <c r="ES1" s="1" t="s">
        <v>141</v>
      </c>
      <c r="ET1" s="1" t="s">
        <v>142</v>
      </c>
      <c r="EU1" s="1" t="s">
        <v>143</v>
      </c>
      <c r="EV1" s="19" t="s">
        <v>33</v>
      </c>
    </row>
    <row r="2" spans="1:168">
      <c r="A2" s="1" t="s">
        <v>1</v>
      </c>
      <c r="B2">
        <v>3.75</v>
      </c>
      <c r="T2" s="310"/>
      <c r="U2" s="310"/>
      <c r="X2" s="308"/>
      <c r="Y2" s="308"/>
      <c r="Z2" s="308"/>
      <c r="AA2" s="308"/>
      <c r="AM2">
        <v>1.25</v>
      </c>
      <c r="AP2">
        <v>1.5</v>
      </c>
      <c r="AQ2">
        <v>50</v>
      </c>
      <c r="AR2">
        <v>20.5</v>
      </c>
      <c r="AS2">
        <v>1.75</v>
      </c>
      <c r="BC2">
        <v>16.25</v>
      </c>
      <c r="BE2">
        <v>1.5</v>
      </c>
      <c r="BF2">
        <v>9.75</v>
      </c>
      <c r="BG2">
        <v>1.5</v>
      </c>
      <c r="BK2" s="310"/>
      <c r="BL2">
        <v>5.75</v>
      </c>
      <c r="BM2">
        <v>10.5</v>
      </c>
      <c r="BP2" s="308"/>
      <c r="BQ2" s="308">
        <v>1.25</v>
      </c>
      <c r="BR2" s="308"/>
      <c r="BS2" s="308"/>
      <c r="BT2" s="308">
        <v>10.51</v>
      </c>
      <c r="BU2">
        <v>139</v>
      </c>
      <c r="BV2" s="308"/>
      <c r="BW2" s="308"/>
      <c r="CA2" s="308"/>
      <c r="CB2" s="43"/>
      <c r="CC2" s="42"/>
      <c r="CE2" s="42"/>
      <c r="CI2" s="308"/>
      <c r="CJ2" s="308"/>
      <c r="CP2" s="308"/>
      <c r="CQ2" s="310"/>
      <c r="CR2" s="42"/>
      <c r="CV2" s="308"/>
      <c r="CW2" s="308"/>
      <c r="CX2" s="42"/>
      <c r="CY2" s="314"/>
      <c r="CZ2" s="314"/>
      <c r="DA2" s="314"/>
      <c r="DB2" s="314"/>
      <c r="DC2" s="314"/>
      <c r="DD2" s="314"/>
      <c r="DE2" s="314"/>
      <c r="DF2" s="314"/>
      <c r="DG2" s="314"/>
      <c r="DH2" s="314"/>
      <c r="DI2" s="314"/>
      <c r="DJ2" s="314"/>
      <c r="DK2" s="314"/>
      <c r="DL2" s="314"/>
      <c r="DM2" s="314">
        <v>2</v>
      </c>
      <c r="DN2" s="314"/>
      <c r="DP2" s="42"/>
      <c r="DQ2" s="42"/>
      <c r="EA2" s="308"/>
      <c r="EL2" s="308"/>
      <c r="ER2" s="42"/>
      <c r="EU2" s="42"/>
      <c r="EV2" s="19">
        <f>SUM(B2:EU2)</f>
        <v>276.76</v>
      </c>
      <c r="EW2" s="8">
        <v>276.76</v>
      </c>
      <c r="EY2" s="8"/>
      <c r="EZ2" s="11"/>
    </row>
    <row r="3" spans="1:168">
      <c r="A3" s="1" t="s">
        <v>2</v>
      </c>
      <c r="I3">
        <v>1.75</v>
      </c>
      <c r="M3">
        <v>0.25</v>
      </c>
      <c r="N3">
        <v>0.5</v>
      </c>
      <c r="O3">
        <v>0.25</v>
      </c>
      <c r="T3" s="310"/>
      <c r="U3" s="310"/>
      <c r="X3" s="308"/>
      <c r="Y3" s="308"/>
      <c r="Z3" s="308"/>
      <c r="AA3" s="308"/>
      <c r="AO3">
        <v>9</v>
      </c>
      <c r="AQ3">
        <v>41.75</v>
      </c>
      <c r="AR3">
        <v>4.75</v>
      </c>
      <c r="AS3">
        <v>10.5</v>
      </c>
      <c r="AT3">
        <v>4</v>
      </c>
      <c r="AU3">
        <v>1.75</v>
      </c>
      <c r="AY3">
        <v>0.75</v>
      </c>
      <c r="BA3">
        <f>103.5+37</f>
        <v>140.5</v>
      </c>
      <c r="BB3">
        <v>1.25</v>
      </c>
      <c r="BC3">
        <v>700.75</v>
      </c>
      <c r="BD3">
        <v>2.75</v>
      </c>
      <c r="BE3">
        <v>27.75</v>
      </c>
      <c r="BF3">
        <v>106.5</v>
      </c>
      <c r="BG3">
        <v>15.5</v>
      </c>
      <c r="BK3" s="310">
        <v>49.25</v>
      </c>
      <c r="BL3">
        <v>55.25</v>
      </c>
      <c r="BO3">
        <v>4.5</v>
      </c>
      <c r="BP3" s="308">
        <v>10.25</v>
      </c>
      <c r="BQ3" s="308">
        <v>15.25</v>
      </c>
      <c r="BR3" s="308"/>
      <c r="BS3" s="308"/>
      <c r="BT3" s="308">
        <v>14.25</v>
      </c>
      <c r="BV3" s="308"/>
      <c r="BW3" s="308"/>
      <c r="BX3">
        <v>4.5</v>
      </c>
      <c r="BY3">
        <v>15.25</v>
      </c>
      <c r="BZ3">
        <v>1.25</v>
      </c>
      <c r="CA3" s="308">
        <v>9</v>
      </c>
      <c r="CB3" s="43"/>
      <c r="CC3" s="42"/>
      <c r="CD3">
        <v>0.75</v>
      </c>
      <c r="CE3" s="42"/>
      <c r="CI3" s="308"/>
      <c r="CJ3" s="308"/>
      <c r="CN3">
        <v>1.25</v>
      </c>
      <c r="CP3" s="308"/>
      <c r="CQ3" s="310"/>
      <c r="CR3" s="42"/>
      <c r="CV3" s="308"/>
      <c r="CW3" s="308"/>
      <c r="CX3" s="42"/>
      <c r="CY3" s="314"/>
      <c r="CZ3" s="314"/>
      <c r="DA3" s="314"/>
      <c r="DB3" s="314"/>
      <c r="DC3" s="314"/>
      <c r="DD3" s="314"/>
      <c r="DE3" s="314"/>
      <c r="DF3" s="314"/>
      <c r="DG3" s="314"/>
      <c r="DH3" s="314"/>
      <c r="DI3" s="314"/>
      <c r="DJ3" s="314"/>
      <c r="DK3" s="314"/>
      <c r="DL3" s="314"/>
      <c r="DM3" s="314">
        <v>0.5</v>
      </c>
      <c r="DN3" s="314">
        <v>2</v>
      </c>
      <c r="DP3" s="42"/>
      <c r="DQ3" s="42"/>
      <c r="EA3" s="308"/>
      <c r="EL3" s="308"/>
      <c r="EQ3">
        <v>2.75</v>
      </c>
      <c r="ER3" s="42"/>
      <c r="EU3" s="42"/>
      <c r="EV3" s="19">
        <f t="shared" ref="EV3:EV25" si="0">SUM(B3:EU3)</f>
        <v>1256.25</v>
      </c>
      <c r="EW3" s="8">
        <v>1256.25</v>
      </c>
      <c r="EY3" s="8"/>
      <c r="EZ3" s="11"/>
    </row>
    <row r="4" spans="1:168">
      <c r="A4" s="1" t="s">
        <v>3</v>
      </c>
      <c r="B4">
        <f>104.5+28.5</f>
        <v>133</v>
      </c>
      <c r="C4">
        <v>13</v>
      </c>
      <c r="D4">
        <v>49</v>
      </c>
      <c r="E4">
        <v>10.5</v>
      </c>
      <c r="F4">
        <v>121.75</v>
      </c>
      <c r="H4">
        <v>311.25</v>
      </c>
      <c r="O4">
        <v>1.75</v>
      </c>
      <c r="P4">
        <v>1</v>
      </c>
      <c r="Q4">
        <v>4</v>
      </c>
      <c r="T4" s="310"/>
      <c r="U4" s="310"/>
      <c r="V4">
        <v>5.5</v>
      </c>
      <c r="X4" s="308"/>
      <c r="Y4" s="308">
        <v>5</v>
      </c>
      <c r="Z4" s="308"/>
      <c r="AA4" s="308">
        <v>9.5</v>
      </c>
      <c r="BK4" s="310">
        <v>0.25</v>
      </c>
      <c r="BP4" s="308">
        <v>19</v>
      </c>
      <c r="BQ4" s="308"/>
      <c r="BR4" s="308"/>
      <c r="BS4" s="308"/>
      <c r="BT4" s="308">
        <v>6.25</v>
      </c>
      <c r="BV4" s="308"/>
      <c r="BW4" s="308"/>
      <c r="BY4">
        <v>2.25</v>
      </c>
      <c r="CA4" s="308"/>
      <c r="CB4" s="43"/>
      <c r="CC4" s="42"/>
      <c r="CE4" s="42"/>
      <c r="CI4" s="308"/>
      <c r="CJ4" s="308">
        <v>18.25</v>
      </c>
      <c r="CK4">
        <v>6.25</v>
      </c>
      <c r="CM4">
        <v>3.5</v>
      </c>
      <c r="CP4" s="308"/>
      <c r="CQ4" s="310">
        <v>7.75</v>
      </c>
      <c r="CR4" s="42"/>
      <c r="CS4">
        <v>0.75</v>
      </c>
      <c r="CV4" s="308"/>
      <c r="CW4" s="308"/>
      <c r="CX4" s="42"/>
      <c r="CY4" s="314"/>
      <c r="CZ4" s="314"/>
      <c r="DA4" s="314"/>
      <c r="DB4" s="314"/>
      <c r="DC4" s="314"/>
      <c r="DD4" s="314"/>
      <c r="DE4" s="314"/>
      <c r="DF4" s="314"/>
      <c r="DG4" s="314"/>
      <c r="DH4" s="314"/>
      <c r="DI4" s="314">
        <v>4.75</v>
      </c>
      <c r="DJ4" s="314"/>
      <c r="DK4" s="314"/>
      <c r="DL4" s="314"/>
      <c r="DM4" s="314"/>
      <c r="DN4" s="314"/>
      <c r="DP4" s="42"/>
      <c r="DQ4" s="42"/>
      <c r="DR4">
        <v>2.5</v>
      </c>
      <c r="DS4">
        <v>111.25</v>
      </c>
      <c r="DT4">
        <v>104</v>
      </c>
      <c r="DU4">
        <v>30.75</v>
      </c>
      <c r="DV4">
        <v>4</v>
      </c>
      <c r="EA4" s="308"/>
      <c r="EL4" s="308"/>
      <c r="ER4" s="42"/>
      <c r="ES4">
        <v>8.75</v>
      </c>
      <c r="EU4" s="42"/>
      <c r="EV4" s="19">
        <f t="shared" si="0"/>
        <v>995.5</v>
      </c>
      <c r="EW4" s="8">
        <v>995.5</v>
      </c>
      <c r="EX4" s="13"/>
      <c r="EY4" s="8"/>
      <c r="EZ4" s="11"/>
      <c r="FA4" s="13"/>
      <c r="FC4" s="23"/>
      <c r="FD4" s="13"/>
      <c r="FE4" s="13"/>
      <c r="FF4" s="13"/>
      <c r="FG4" s="293"/>
      <c r="FH4" s="279"/>
      <c r="FI4" s="13"/>
      <c r="FJ4" s="13"/>
      <c r="FK4" s="294"/>
      <c r="FL4" s="13"/>
    </row>
    <row r="5" spans="1:168">
      <c r="A5" s="1" t="s">
        <v>4</v>
      </c>
      <c r="B5">
        <v>1</v>
      </c>
      <c r="F5">
        <v>31.5</v>
      </c>
      <c r="H5">
        <v>119.25</v>
      </c>
      <c r="T5" s="310"/>
      <c r="U5" s="310"/>
      <c r="X5" s="308"/>
      <c r="Y5" s="308"/>
      <c r="Z5" s="308"/>
      <c r="AA5" s="308"/>
      <c r="BK5" s="310"/>
      <c r="BP5" s="308">
        <v>2.25</v>
      </c>
      <c r="BQ5" s="308"/>
      <c r="BR5" s="308"/>
      <c r="BS5" s="308"/>
      <c r="BT5" s="308"/>
      <c r="BV5" s="308"/>
      <c r="BW5" s="308"/>
      <c r="CA5" s="308"/>
      <c r="CB5" s="43"/>
      <c r="CC5" s="42"/>
      <c r="CE5" s="42"/>
      <c r="CI5" s="308"/>
      <c r="CJ5" s="308"/>
      <c r="CP5" s="308"/>
      <c r="CQ5" s="310"/>
      <c r="CR5" s="42"/>
      <c r="CV5" s="308"/>
      <c r="CW5" s="308"/>
      <c r="CX5" s="42"/>
      <c r="CY5" s="314"/>
      <c r="CZ5" s="314"/>
      <c r="DA5" s="314"/>
      <c r="DB5" s="314"/>
      <c r="DC5" s="314"/>
      <c r="DD5" s="314"/>
      <c r="DE5" s="314"/>
      <c r="DF5" s="314"/>
      <c r="DG5" s="314"/>
      <c r="DH5" s="314"/>
      <c r="DI5" s="314"/>
      <c r="DJ5" s="314"/>
      <c r="DK5" s="314"/>
      <c r="DL5" s="314"/>
      <c r="DM5" s="314"/>
      <c r="DN5" s="314"/>
      <c r="DP5" s="42"/>
      <c r="DQ5" s="42"/>
      <c r="EA5" s="308"/>
      <c r="EL5" s="308"/>
      <c r="ER5" s="42"/>
      <c r="EU5" s="42"/>
      <c r="EV5" s="19">
        <f t="shared" si="0"/>
        <v>154</v>
      </c>
      <c r="EW5" s="8">
        <v>154</v>
      </c>
      <c r="EX5" s="25"/>
      <c r="EY5" s="8"/>
      <c r="EZ5" s="11"/>
      <c r="FA5" s="13"/>
      <c r="FC5" s="27"/>
      <c r="FD5" s="13"/>
      <c r="FE5" s="281"/>
      <c r="FF5" s="13"/>
      <c r="FG5" s="13"/>
      <c r="FH5" s="75"/>
      <c r="FI5" s="13"/>
      <c r="FJ5" s="13"/>
      <c r="FK5" s="13"/>
      <c r="FL5" s="13"/>
    </row>
    <row r="6" spans="1:168">
      <c r="A6" s="1" t="s">
        <v>5</v>
      </c>
      <c r="T6" s="310"/>
      <c r="U6" s="310"/>
      <c r="X6" s="308"/>
      <c r="Y6" s="308"/>
      <c r="Z6" s="308"/>
      <c r="AA6" s="308"/>
      <c r="AD6">
        <f>21.25+38.25</f>
        <v>59.5</v>
      </c>
      <c r="AE6">
        <v>234.5</v>
      </c>
      <c r="AF6">
        <v>442</v>
      </c>
      <c r="AH6">
        <v>23.5</v>
      </c>
      <c r="AI6">
        <v>0.5</v>
      </c>
      <c r="AJ6">
        <v>3</v>
      </c>
      <c r="AO6">
        <v>0.25</v>
      </c>
      <c r="BK6" s="310"/>
      <c r="BP6" s="308">
        <v>0.5</v>
      </c>
      <c r="BQ6" s="308">
        <v>7.13</v>
      </c>
      <c r="BR6" s="308"/>
      <c r="BS6" s="308"/>
      <c r="BT6" s="308"/>
      <c r="BV6" s="308"/>
      <c r="BW6" s="308"/>
      <c r="BY6">
        <v>24</v>
      </c>
      <c r="CA6" s="308">
        <v>1.5</v>
      </c>
      <c r="CB6" s="43"/>
      <c r="CC6" s="42"/>
      <c r="CE6" s="42"/>
      <c r="CI6" s="308"/>
      <c r="CJ6" s="308"/>
      <c r="CP6" s="308"/>
      <c r="CQ6" s="310"/>
      <c r="CR6" s="42"/>
      <c r="CV6" s="308"/>
      <c r="CW6" s="308"/>
      <c r="CX6" s="42"/>
      <c r="CY6" s="314"/>
      <c r="CZ6" s="314"/>
      <c r="DA6" s="314"/>
      <c r="DB6" s="314"/>
      <c r="DC6" s="314"/>
      <c r="DD6" s="314"/>
      <c r="DE6" s="314"/>
      <c r="DF6" s="314"/>
      <c r="DG6" s="314"/>
      <c r="DH6" s="314"/>
      <c r="DI6" s="314"/>
      <c r="DJ6" s="314"/>
      <c r="DK6" s="314"/>
      <c r="DL6" s="314"/>
      <c r="DM6" s="314"/>
      <c r="DN6" s="314"/>
      <c r="DP6" s="42"/>
      <c r="DQ6" s="42"/>
      <c r="EA6" s="308"/>
      <c r="EL6" s="308"/>
      <c r="ER6" s="42"/>
      <c r="EU6" s="42"/>
      <c r="EV6" s="19">
        <f t="shared" si="0"/>
        <v>796.38</v>
      </c>
      <c r="EW6" s="8">
        <v>796.38</v>
      </c>
      <c r="EX6" s="29"/>
      <c r="EY6" s="8"/>
      <c r="EZ6" s="11"/>
      <c r="FA6" s="13"/>
      <c r="FC6" s="27"/>
      <c r="FD6" s="13"/>
      <c r="FE6" s="281"/>
      <c r="FF6" s="13"/>
      <c r="FG6" s="13"/>
      <c r="FH6" s="13"/>
      <c r="FI6" s="13"/>
      <c r="FJ6" s="13"/>
      <c r="FK6" s="13"/>
      <c r="FL6" s="13"/>
    </row>
    <row r="7" spans="1:168">
      <c r="A7" s="1" t="s">
        <v>6</v>
      </c>
      <c r="T7" s="310"/>
      <c r="U7" s="310"/>
      <c r="X7" s="308"/>
      <c r="Y7" s="308"/>
      <c r="Z7" s="308"/>
      <c r="AA7" s="308"/>
      <c r="AD7">
        <f>27+43.75</f>
        <v>70.75</v>
      </c>
      <c r="AE7">
        <v>387.75</v>
      </c>
      <c r="AF7">
        <v>353.5</v>
      </c>
      <c r="AG7">
        <v>268</v>
      </c>
      <c r="AI7">
        <v>3</v>
      </c>
      <c r="AJ7">
        <v>2</v>
      </c>
      <c r="AL7">
        <v>7.5</v>
      </c>
      <c r="AM7">
        <v>2.75</v>
      </c>
      <c r="AN7">
        <v>2</v>
      </c>
      <c r="AO7">
        <v>50.5</v>
      </c>
      <c r="BK7" s="310"/>
      <c r="BP7" s="308">
        <v>45</v>
      </c>
      <c r="BQ7" s="308"/>
      <c r="BR7" s="308"/>
      <c r="BS7" s="308"/>
      <c r="BT7" s="308"/>
      <c r="BV7" s="308"/>
      <c r="BW7" s="308"/>
      <c r="BX7">
        <v>5.63</v>
      </c>
      <c r="CA7" s="308"/>
      <c r="CB7" s="43"/>
      <c r="CC7" s="42"/>
      <c r="CE7" s="42"/>
      <c r="CI7" s="308"/>
      <c r="CJ7" s="308"/>
      <c r="CP7" s="308"/>
      <c r="CQ7" s="310"/>
      <c r="CR7" s="42"/>
      <c r="CV7" s="308"/>
      <c r="CW7" s="308"/>
      <c r="CX7" s="42"/>
      <c r="CY7" s="314"/>
      <c r="CZ7" s="314"/>
      <c r="DA7" s="314"/>
      <c r="DB7" s="314"/>
      <c r="DC7" s="314"/>
      <c r="DD7" s="314"/>
      <c r="DE7" s="314"/>
      <c r="DF7" s="314"/>
      <c r="DG7" s="314"/>
      <c r="DH7" s="314"/>
      <c r="DI7" s="314"/>
      <c r="DJ7" s="314"/>
      <c r="DK7" s="314"/>
      <c r="DL7" s="314"/>
      <c r="DM7" s="314"/>
      <c r="DN7" s="314"/>
      <c r="DP7" s="42"/>
      <c r="DQ7" s="42"/>
      <c r="EA7" s="308"/>
      <c r="EL7" s="308"/>
      <c r="ER7" s="42"/>
      <c r="EU7" s="42"/>
      <c r="EV7" s="19">
        <f t="shared" si="0"/>
        <v>1198.3800000000001</v>
      </c>
      <c r="EW7" s="8">
        <v>1198.3800000000001</v>
      </c>
      <c r="EX7" s="13"/>
      <c r="EY7" s="8"/>
      <c r="FA7" s="13"/>
      <c r="FC7" s="13"/>
      <c r="FD7" s="13"/>
      <c r="FE7" s="13"/>
      <c r="FF7" s="13"/>
      <c r="FG7" s="13"/>
      <c r="FH7" s="13"/>
      <c r="FI7" s="13"/>
      <c r="FJ7" s="13"/>
      <c r="FK7" s="13"/>
      <c r="FL7" s="13"/>
    </row>
    <row r="8" spans="1:168">
      <c r="A8" s="1" t="s">
        <v>8</v>
      </c>
      <c r="T8" s="310"/>
      <c r="U8" s="310"/>
      <c r="X8" s="308"/>
      <c r="Y8" s="308"/>
      <c r="Z8" s="308"/>
      <c r="AA8" s="308"/>
      <c r="AP8">
        <f>19+23.5</f>
        <v>42.5</v>
      </c>
      <c r="AQ8">
        <v>414</v>
      </c>
      <c r="AR8">
        <v>155</v>
      </c>
      <c r="AS8">
        <v>53.75</v>
      </c>
      <c r="AT8">
        <v>50.5</v>
      </c>
      <c r="AU8">
        <v>138.5</v>
      </c>
      <c r="AX8">
        <v>12.25</v>
      </c>
      <c r="AY8">
        <v>8.25</v>
      </c>
      <c r="BK8" s="310"/>
      <c r="BP8" s="308"/>
      <c r="BQ8" s="308">
        <v>3</v>
      </c>
      <c r="BR8" s="308"/>
      <c r="BS8" s="308"/>
      <c r="BT8" s="308">
        <v>4.5</v>
      </c>
      <c r="BU8">
        <v>15.5</v>
      </c>
      <c r="BV8" s="308"/>
      <c r="BW8" s="308"/>
      <c r="CA8" s="308"/>
      <c r="CB8" s="43"/>
      <c r="CC8" s="42"/>
      <c r="CE8" s="42"/>
      <c r="CI8" s="308"/>
      <c r="CJ8" s="308"/>
      <c r="CP8" s="308"/>
      <c r="CQ8" s="310"/>
      <c r="CR8" s="42"/>
      <c r="CV8" s="308"/>
      <c r="CW8" s="308"/>
      <c r="CX8" s="42"/>
      <c r="CY8" s="314"/>
      <c r="CZ8" s="314"/>
      <c r="DA8" s="314"/>
      <c r="DB8" s="314"/>
      <c r="DC8" s="314"/>
      <c r="DD8" s="314"/>
      <c r="DE8" s="314"/>
      <c r="DF8" s="314"/>
      <c r="DG8" s="314"/>
      <c r="DH8" s="314"/>
      <c r="DI8" s="314"/>
      <c r="DJ8" s="314"/>
      <c r="DK8" s="314"/>
      <c r="DL8" s="314"/>
      <c r="DM8" s="314">
        <v>3</v>
      </c>
      <c r="DN8" s="314"/>
      <c r="DP8" s="42"/>
      <c r="DQ8" s="42"/>
      <c r="EA8" s="308"/>
      <c r="EL8" s="308"/>
      <c r="ER8" s="42"/>
      <c r="EU8" s="42"/>
      <c r="EV8" s="19">
        <f t="shared" si="0"/>
        <v>900.75</v>
      </c>
      <c r="EW8" s="8">
        <v>900.75</v>
      </c>
      <c r="EX8" s="13"/>
      <c r="EY8" s="8"/>
      <c r="FA8" s="13"/>
      <c r="FC8" s="23"/>
      <c r="FD8" s="13"/>
      <c r="FE8" s="13"/>
      <c r="FF8" s="13"/>
      <c r="FG8" s="279"/>
      <c r="FH8" s="13"/>
      <c r="FI8" s="13"/>
      <c r="FJ8" s="294"/>
      <c r="FK8" s="13"/>
      <c r="FL8" s="13"/>
    </row>
    <row r="9" spans="1:168">
      <c r="A9" s="1" t="s">
        <v>9</v>
      </c>
      <c r="B9">
        <f>294.25+40.25</f>
        <v>334.5</v>
      </c>
      <c r="G9">
        <v>1.25</v>
      </c>
      <c r="H9">
        <v>171</v>
      </c>
      <c r="I9">
        <v>2</v>
      </c>
      <c r="J9">
        <v>0.25</v>
      </c>
      <c r="M9">
        <v>37.75</v>
      </c>
      <c r="N9">
        <v>0.5</v>
      </c>
      <c r="O9">
        <v>1.5</v>
      </c>
      <c r="P9">
        <v>19.75</v>
      </c>
      <c r="R9">
        <v>2.5</v>
      </c>
      <c r="S9">
        <v>2</v>
      </c>
      <c r="T9" s="310">
        <v>0.5</v>
      </c>
      <c r="U9" s="310">
        <v>2.5</v>
      </c>
      <c r="V9">
        <v>100.5</v>
      </c>
      <c r="X9" s="308">
        <v>16.25</v>
      </c>
      <c r="Y9" s="308">
        <v>11</v>
      </c>
      <c r="Z9" s="308"/>
      <c r="AA9" s="308">
        <v>0.75</v>
      </c>
      <c r="BK9" s="310"/>
      <c r="BP9" s="308">
        <v>18.5</v>
      </c>
      <c r="BQ9" s="308"/>
      <c r="BR9" s="308"/>
      <c r="BS9" s="308"/>
      <c r="BT9" s="308">
        <v>3.75</v>
      </c>
      <c r="BV9" s="308"/>
      <c r="BW9" s="308">
        <v>0.5</v>
      </c>
      <c r="BX9">
        <v>11.51</v>
      </c>
      <c r="CA9" s="308">
        <v>32.5</v>
      </c>
      <c r="CB9" s="43"/>
      <c r="CC9" s="42"/>
      <c r="CE9" s="42"/>
      <c r="CF9">
        <v>1.25</v>
      </c>
      <c r="CI9" s="308"/>
      <c r="CJ9" s="308">
        <v>13</v>
      </c>
      <c r="CK9">
        <v>10.75</v>
      </c>
      <c r="CO9">
        <v>2.5</v>
      </c>
      <c r="CP9" s="308"/>
      <c r="CQ9" s="310">
        <v>2.75</v>
      </c>
      <c r="CR9" s="42"/>
      <c r="CS9">
        <v>5.75</v>
      </c>
      <c r="CU9">
        <v>0.5</v>
      </c>
      <c r="CV9" s="308"/>
      <c r="CW9" s="308">
        <v>5.75</v>
      </c>
      <c r="CX9" s="42"/>
      <c r="CY9" s="314"/>
      <c r="CZ9" s="314"/>
      <c r="DA9" s="314"/>
      <c r="DB9" s="314"/>
      <c r="DC9" s="314"/>
      <c r="DD9" s="314"/>
      <c r="DE9" s="314"/>
      <c r="DF9" s="314"/>
      <c r="DG9" s="314"/>
      <c r="DH9" s="314"/>
      <c r="DI9" s="314"/>
      <c r="DJ9" s="314"/>
      <c r="DK9" s="314">
        <v>1.75</v>
      </c>
      <c r="DL9" s="314">
        <v>1</v>
      </c>
      <c r="DM9" s="314"/>
      <c r="DN9" s="314">
        <v>1.75</v>
      </c>
      <c r="DP9" s="42"/>
      <c r="DQ9" s="42"/>
      <c r="DR9">
        <v>1</v>
      </c>
      <c r="DS9">
        <v>8.75</v>
      </c>
      <c r="DT9">
        <v>10.25</v>
      </c>
      <c r="DU9">
        <v>12</v>
      </c>
      <c r="EA9" s="308"/>
      <c r="EL9" s="308"/>
      <c r="EQ9">
        <v>0.5</v>
      </c>
      <c r="ER9" s="42"/>
      <c r="EU9" s="42"/>
      <c r="EV9" s="19">
        <f t="shared" si="0"/>
        <v>850.51</v>
      </c>
      <c r="EW9" s="8">
        <v>850.51</v>
      </c>
      <c r="EX9" s="30"/>
      <c r="EY9" s="8"/>
      <c r="FA9" s="13"/>
      <c r="FC9" s="27"/>
      <c r="FD9" s="13"/>
      <c r="FE9" s="281"/>
      <c r="FF9" s="13"/>
      <c r="FG9" s="13"/>
      <c r="FH9" s="13"/>
      <c r="FI9" s="13"/>
      <c r="FJ9" s="13"/>
      <c r="FK9" s="13"/>
      <c r="FL9" s="13"/>
    </row>
    <row r="10" spans="1:168">
      <c r="A10" s="1" t="s">
        <v>11</v>
      </c>
      <c r="T10" s="310"/>
      <c r="U10" s="310"/>
      <c r="X10" s="308"/>
      <c r="Y10" s="308"/>
      <c r="Z10" s="308"/>
      <c r="AA10" s="308"/>
      <c r="AI10">
        <v>0.75</v>
      </c>
      <c r="AO10">
        <v>3.75</v>
      </c>
      <c r="AP10">
        <f>33.5+22</f>
        <v>55.5</v>
      </c>
      <c r="AQ10">
        <v>393.75</v>
      </c>
      <c r="AR10">
        <v>84.5</v>
      </c>
      <c r="AS10">
        <v>107</v>
      </c>
      <c r="AT10">
        <v>50.5</v>
      </c>
      <c r="AU10">
        <v>27.5</v>
      </c>
      <c r="AV10">
        <v>0.75</v>
      </c>
      <c r="AX10">
        <v>3.5</v>
      </c>
      <c r="AY10">
        <v>28.5</v>
      </c>
      <c r="AZ10">
        <v>1.25</v>
      </c>
      <c r="BE10">
        <v>0.5</v>
      </c>
      <c r="BK10" s="310"/>
      <c r="BP10" s="308"/>
      <c r="BQ10" s="308">
        <v>3.5</v>
      </c>
      <c r="BR10" s="308"/>
      <c r="BS10" s="308"/>
      <c r="BT10" s="308">
        <v>2.25</v>
      </c>
      <c r="BV10" s="308">
        <v>0.75</v>
      </c>
      <c r="BW10" s="308"/>
      <c r="BX10">
        <v>2</v>
      </c>
      <c r="BY10">
        <v>1.75</v>
      </c>
      <c r="CA10" s="308"/>
      <c r="CB10" s="43"/>
      <c r="CC10" s="42"/>
      <c r="CE10" s="42"/>
      <c r="CI10" s="308"/>
      <c r="CJ10" s="308"/>
      <c r="CP10" s="308"/>
      <c r="CQ10" s="310"/>
      <c r="CR10" s="42"/>
      <c r="CV10" s="308"/>
      <c r="CW10" s="308"/>
      <c r="CX10" s="42"/>
      <c r="CY10" s="314"/>
      <c r="CZ10" s="314"/>
      <c r="DA10" s="314"/>
      <c r="DB10" s="314"/>
      <c r="DC10" s="314"/>
      <c r="DD10" s="314"/>
      <c r="DE10" s="314"/>
      <c r="DF10" s="314"/>
      <c r="DG10" s="314"/>
      <c r="DH10" s="314"/>
      <c r="DI10" s="314"/>
      <c r="DJ10" s="314"/>
      <c r="DK10" s="314"/>
      <c r="DL10" s="314"/>
      <c r="DM10" s="314">
        <v>0.75</v>
      </c>
      <c r="DN10" s="314"/>
      <c r="DP10" s="42"/>
      <c r="DQ10" s="42"/>
      <c r="EA10" s="308"/>
      <c r="EL10" s="308"/>
      <c r="ER10" s="42"/>
      <c r="EU10" s="42"/>
      <c r="EV10" s="19">
        <f t="shared" si="0"/>
        <v>768.75</v>
      </c>
      <c r="EW10" s="8">
        <v>768.75</v>
      </c>
      <c r="EX10" s="31"/>
      <c r="EY10" s="8"/>
      <c r="FA10" s="13"/>
      <c r="FC10" s="27"/>
      <c r="FD10" s="13"/>
      <c r="FE10" s="281"/>
      <c r="FF10" s="13"/>
      <c r="FG10" s="13"/>
      <c r="FH10" s="13"/>
      <c r="FI10" s="13"/>
      <c r="FJ10" s="13"/>
      <c r="FK10" s="13"/>
      <c r="FL10" s="13"/>
    </row>
    <row r="11" spans="1:168">
      <c r="A11" s="1" t="s">
        <v>12</v>
      </c>
      <c r="T11" s="310"/>
      <c r="U11" s="310"/>
      <c r="X11" s="308"/>
      <c r="Y11" s="308"/>
      <c r="Z11" s="308"/>
      <c r="AA11" s="308"/>
      <c r="AD11">
        <f>16.5+7.5</f>
        <v>24</v>
      </c>
      <c r="AE11">
        <v>52.75</v>
      </c>
      <c r="AF11">
        <v>218.75</v>
      </c>
      <c r="AH11">
        <v>35.25</v>
      </c>
      <c r="AI11">
        <v>4</v>
      </c>
      <c r="AM11">
        <v>2</v>
      </c>
      <c r="AO11">
        <v>6.75</v>
      </c>
      <c r="BK11" s="310"/>
      <c r="BP11" s="308">
        <v>12</v>
      </c>
      <c r="BQ11" s="308"/>
      <c r="BR11" s="308"/>
      <c r="BS11" s="308"/>
      <c r="BT11" s="308"/>
      <c r="BV11" s="308"/>
      <c r="BW11" s="308"/>
      <c r="BX11">
        <v>5.63</v>
      </c>
      <c r="CA11" s="308">
        <v>8.25</v>
      </c>
      <c r="CB11" s="43"/>
      <c r="CC11" s="42"/>
      <c r="CE11" s="42"/>
      <c r="CI11" s="308"/>
      <c r="CJ11" s="308"/>
      <c r="CP11" s="308"/>
      <c r="CQ11" s="310"/>
      <c r="CR11" s="42"/>
      <c r="CV11" s="308">
        <v>3.5</v>
      </c>
      <c r="CW11" s="308"/>
      <c r="CX11" s="42"/>
      <c r="CY11" s="314"/>
      <c r="CZ11" s="314"/>
      <c r="DA11" s="314"/>
      <c r="DB11" s="314"/>
      <c r="DC11" s="314"/>
      <c r="DD11" s="314"/>
      <c r="DE11" s="314"/>
      <c r="DF11" s="314"/>
      <c r="DG11" s="314"/>
      <c r="DH11" s="314"/>
      <c r="DI11" s="314"/>
      <c r="DJ11" s="314"/>
      <c r="DK11" s="314"/>
      <c r="DL11" s="314"/>
      <c r="DM11" s="314"/>
      <c r="DN11" s="314"/>
      <c r="DP11" s="42"/>
      <c r="DQ11" s="42"/>
      <c r="EA11" s="308"/>
      <c r="EL11" s="308"/>
      <c r="ER11" s="42"/>
      <c r="EU11" s="42"/>
      <c r="EV11" s="19">
        <f t="shared" si="0"/>
        <v>372.88</v>
      </c>
      <c r="EW11" s="8">
        <v>372.88</v>
      </c>
      <c r="EX11" s="13"/>
      <c r="EY11" s="8"/>
      <c r="FA11" s="13"/>
      <c r="FC11" s="13"/>
      <c r="FD11" s="13"/>
      <c r="FE11" s="33"/>
      <c r="FF11" s="13"/>
      <c r="FG11" s="13"/>
      <c r="FH11" s="13"/>
      <c r="FI11" s="13"/>
      <c r="FJ11" s="13"/>
      <c r="FK11" s="13"/>
      <c r="FL11" s="13"/>
    </row>
    <row r="12" spans="1:168">
      <c r="A12" s="1" t="s">
        <v>13</v>
      </c>
      <c r="T12" s="310"/>
      <c r="U12" s="310"/>
      <c r="X12" s="308"/>
      <c r="Y12" s="308"/>
      <c r="Z12" s="308"/>
      <c r="AA12" s="308"/>
      <c r="AD12">
        <f>152.5+24</f>
        <v>176.5</v>
      </c>
      <c r="AJ12">
        <v>3.75</v>
      </c>
      <c r="AM12">
        <v>8</v>
      </c>
      <c r="AO12">
        <v>0.25</v>
      </c>
      <c r="BK12" s="310"/>
      <c r="BP12" s="308">
        <v>2</v>
      </c>
      <c r="BQ12" s="308"/>
      <c r="BR12" s="308"/>
      <c r="BS12" s="308"/>
      <c r="BT12" s="308"/>
      <c r="BV12" s="308"/>
      <c r="BW12" s="308"/>
      <c r="CA12" s="308">
        <v>56.75</v>
      </c>
      <c r="CB12" s="43"/>
      <c r="CC12" s="42"/>
      <c r="CE12" s="42"/>
      <c r="CI12" s="308"/>
      <c r="CJ12" s="308"/>
      <c r="CP12" s="308"/>
      <c r="CQ12" s="310"/>
      <c r="CR12" s="42"/>
      <c r="CV12" s="308"/>
      <c r="CW12" s="308"/>
      <c r="CX12" s="42"/>
      <c r="CY12" s="314"/>
      <c r="CZ12" s="314"/>
      <c r="DA12" s="314"/>
      <c r="DB12" s="314"/>
      <c r="DC12" s="314"/>
      <c r="DD12" s="314"/>
      <c r="DE12" s="314"/>
      <c r="DF12" s="314"/>
      <c r="DG12" s="314"/>
      <c r="DH12" s="314"/>
      <c r="DI12" s="314"/>
      <c r="DJ12" s="314"/>
      <c r="DK12" s="314"/>
      <c r="DL12" s="314"/>
      <c r="DM12" s="314"/>
      <c r="DN12" s="314"/>
      <c r="DP12" s="42"/>
      <c r="DQ12" s="42"/>
      <c r="DT12">
        <v>3</v>
      </c>
      <c r="DW12">
        <v>1.25</v>
      </c>
      <c r="DX12">
        <v>26.75</v>
      </c>
      <c r="DY12">
        <v>0.5</v>
      </c>
      <c r="EA12" s="308"/>
      <c r="EB12">
        <v>2.75</v>
      </c>
      <c r="EE12">
        <v>190.25</v>
      </c>
      <c r="EL12" s="308"/>
      <c r="ER12" s="42"/>
      <c r="EU12" s="42"/>
      <c r="EV12" s="19">
        <f t="shared" si="0"/>
        <v>471.75</v>
      </c>
      <c r="EW12" s="8">
        <v>471.75</v>
      </c>
      <c r="EX12" s="30"/>
      <c r="EY12" s="8"/>
      <c r="FA12" s="13"/>
      <c r="FC12" s="31"/>
      <c r="FD12" s="13"/>
      <c r="FE12" s="13"/>
      <c r="FF12" s="13"/>
      <c r="FG12" s="13"/>
      <c r="FH12" s="13"/>
      <c r="FI12" s="13"/>
      <c r="FJ12" s="13"/>
      <c r="FK12" s="13"/>
      <c r="FL12" s="13"/>
    </row>
    <row r="13" spans="1:168">
      <c r="A13" s="1" t="s">
        <v>14</v>
      </c>
      <c r="B13">
        <f>10.5+9.25</f>
        <v>19.75</v>
      </c>
      <c r="D13">
        <v>28</v>
      </c>
      <c r="F13">
        <v>251.25</v>
      </c>
      <c r="H13">
        <v>304</v>
      </c>
      <c r="P13">
        <v>33</v>
      </c>
      <c r="R13">
        <v>57</v>
      </c>
      <c r="T13" s="310"/>
      <c r="U13" s="310"/>
      <c r="V13">
        <v>38.5</v>
      </c>
      <c r="X13" s="308"/>
      <c r="Y13" s="308"/>
      <c r="Z13" s="308"/>
      <c r="AA13" s="308"/>
      <c r="BK13" s="310"/>
      <c r="BP13" s="308">
        <v>9.5</v>
      </c>
      <c r="BQ13" s="308"/>
      <c r="BR13" s="308"/>
      <c r="BS13" s="308"/>
      <c r="BT13" s="308"/>
      <c r="BV13" s="308"/>
      <c r="BW13" s="308">
        <v>29.25</v>
      </c>
      <c r="CA13" s="308"/>
      <c r="CB13" s="43"/>
      <c r="CC13" s="42"/>
      <c r="CE13" s="42"/>
      <c r="CI13" s="308"/>
      <c r="CJ13" s="308"/>
      <c r="CP13" s="308"/>
      <c r="CQ13" s="310">
        <v>14.5</v>
      </c>
      <c r="CR13" s="42"/>
      <c r="CV13" s="308"/>
      <c r="CW13" s="308"/>
      <c r="CX13" s="42"/>
      <c r="CY13" s="314"/>
      <c r="CZ13" s="314"/>
      <c r="DA13" s="314"/>
      <c r="DB13" s="314"/>
      <c r="DC13" s="314"/>
      <c r="DD13" s="314"/>
      <c r="DE13" s="314"/>
      <c r="DF13" s="314"/>
      <c r="DG13" s="314"/>
      <c r="DH13" s="314"/>
      <c r="DI13" s="314">
        <v>1</v>
      </c>
      <c r="DJ13" s="314"/>
      <c r="DK13" s="314"/>
      <c r="DL13" s="314"/>
      <c r="DM13" s="314"/>
      <c r="DN13" s="314"/>
      <c r="DP13" s="42"/>
      <c r="DQ13" s="42"/>
      <c r="DS13">
        <v>5.25</v>
      </c>
      <c r="DT13">
        <v>15.75</v>
      </c>
      <c r="DV13">
        <v>50</v>
      </c>
      <c r="EA13" s="308"/>
      <c r="EL13" s="308"/>
      <c r="ER13" s="42"/>
      <c r="EU13" s="42"/>
      <c r="EV13" s="19">
        <f t="shared" si="0"/>
        <v>856.75</v>
      </c>
      <c r="EW13" s="8">
        <v>856.75</v>
      </c>
      <c r="EX13" s="295"/>
      <c r="EY13" s="8"/>
      <c r="FA13" s="13"/>
      <c r="FC13" s="27"/>
      <c r="FD13" s="13"/>
      <c r="FE13" s="296"/>
      <c r="FF13" s="13"/>
      <c r="FG13" s="13"/>
      <c r="FH13" s="13"/>
      <c r="FI13" s="13"/>
      <c r="FJ13" s="13"/>
      <c r="FK13" s="13"/>
      <c r="FL13" s="13"/>
    </row>
    <row r="14" spans="1:168">
      <c r="A14" s="1" t="s">
        <v>15</v>
      </c>
      <c r="T14" s="310"/>
      <c r="U14" s="310"/>
      <c r="X14" s="308"/>
      <c r="Y14" s="308"/>
      <c r="Z14" s="308"/>
      <c r="AA14" s="308"/>
      <c r="AD14">
        <f>51.5+16</f>
        <v>67.5</v>
      </c>
      <c r="AE14">
        <v>79.5</v>
      </c>
      <c r="AF14">
        <v>154</v>
      </c>
      <c r="AH14">
        <v>29.75</v>
      </c>
      <c r="AI14">
        <v>3</v>
      </c>
      <c r="AJ14">
        <v>1.75</v>
      </c>
      <c r="AL14">
        <v>2.5</v>
      </c>
      <c r="AO14">
        <v>48.63</v>
      </c>
      <c r="BK14" s="310"/>
      <c r="BP14" s="308">
        <v>2</v>
      </c>
      <c r="BQ14" s="308"/>
      <c r="BR14" s="308"/>
      <c r="BS14" s="308"/>
      <c r="BT14" s="308"/>
      <c r="BV14" s="308"/>
      <c r="BW14" s="308"/>
      <c r="BY14">
        <v>27.5</v>
      </c>
      <c r="CA14" s="308">
        <v>0.75</v>
      </c>
      <c r="CB14" s="43"/>
      <c r="CC14" s="42"/>
      <c r="CE14" s="42"/>
      <c r="CI14" s="308"/>
      <c r="CJ14" s="308"/>
      <c r="CP14" s="308"/>
      <c r="CQ14" s="310"/>
      <c r="CR14" s="42"/>
      <c r="CV14" s="308"/>
      <c r="CW14" s="308"/>
      <c r="CX14" s="42"/>
      <c r="CY14" s="314"/>
      <c r="CZ14" s="314"/>
      <c r="DA14" s="314"/>
      <c r="DB14" s="314"/>
      <c r="DC14" s="314"/>
      <c r="DD14" s="314"/>
      <c r="DE14" s="314"/>
      <c r="DF14" s="314"/>
      <c r="DG14" s="314"/>
      <c r="DH14" s="314"/>
      <c r="DI14" s="314"/>
      <c r="DJ14" s="314"/>
      <c r="DK14" s="314"/>
      <c r="DL14" s="314"/>
      <c r="DM14" s="314"/>
      <c r="DN14" s="314"/>
      <c r="DP14" s="42"/>
      <c r="DQ14" s="42"/>
      <c r="DW14">
        <v>0.75</v>
      </c>
      <c r="EA14" s="308"/>
      <c r="EL14" s="308"/>
      <c r="ER14" s="42"/>
      <c r="EU14" s="42"/>
      <c r="EV14" s="19">
        <f t="shared" si="0"/>
        <v>417.63</v>
      </c>
      <c r="EW14" s="8">
        <v>417.63</v>
      </c>
      <c r="EX14" s="13"/>
      <c r="EY14" s="8"/>
      <c r="FA14" s="13"/>
      <c r="FC14" s="27"/>
      <c r="FD14" s="13"/>
      <c r="FE14" s="281"/>
      <c r="FF14" s="13"/>
      <c r="FG14" s="13"/>
      <c r="FH14" s="13"/>
      <c r="FI14" s="13"/>
      <c r="FJ14" s="13"/>
      <c r="FK14" s="13"/>
      <c r="FL14" s="13"/>
    </row>
    <row r="15" spans="1:168">
      <c r="A15" s="1" t="s">
        <v>17</v>
      </c>
      <c r="B15">
        <f>28.5+12.5</f>
        <v>41</v>
      </c>
      <c r="C15">
        <v>13.25</v>
      </c>
      <c r="D15">
        <v>79</v>
      </c>
      <c r="E15">
        <v>9.25</v>
      </c>
      <c r="F15">
        <v>99</v>
      </c>
      <c r="G15">
        <v>7.75</v>
      </c>
      <c r="H15">
        <v>284</v>
      </c>
      <c r="P15">
        <v>88.75</v>
      </c>
      <c r="Q15">
        <v>6</v>
      </c>
      <c r="R15">
        <v>9</v>
      </c>
      <c r="S15">
        <v>13.25</v>
      </c>
      <c r="T15" s="310"/>
      <c r="U15" s="310"/>
      <c r="V15">
        <v>15.75</v>
      </c>
      <c r="X15" s="308"/>
      <c r="Y15" s="308"/>
      <c r="Z15" s="308"/>
      <c r="AA15" s="308"/>
      <c r="BK15" s="310"/>
      <c r="BP15" s="308">
        <v>10.5</v>
      </c>
      <c r="BQ15" s="308"/>
      <c r="BR15" s="308"/>
      <c r="BS15" s="308"/>
      <c r="BT15" s="308">
        <v>40</v>
      </c>
      <c r="BV15" s="308"/>
      <c r="BW15" s="308"/>
      <c r="CA15" s="308"/>
      <c r="CB15" s="43"/>
      <c r="CC15" s="42"/>
      <c r="CE15" s="42"/>
      <c r="CF15">
        <v>0.25</v>
      </c>
      <c r="CI15" s="308"/>
      <c r="CJ15" s="308"/>
      <c r="CP15" s="308"/>
      <c r="CQ15" s="310"/>
      <c r="CR15" s="42"/>
      <c r="CS15">
        <v>0.75</v>
      </c>
      <c r="CV15" s="308"/>
      <c r="CW15" s="308"/>
      <c r="CX15" s="42"/>
      <c r="CY15" s="314">
        <v>2.75</v>
      </c>
      <c r="CZ15" s="314"/>
      <c r="DA15" s="314"/>
      <c r="DB15" s="314"/>
      <c r="DC15" s="314"/>
      <c r="DD15" s="314"/>
      <c r="DE15" s="314"/>
      <c r="DF15" s="314"/>
      <c r="DG15" s="314"/>
      <c r="DH15" s="314"/>
      <c r="DI15" s="314">
        <v>8.75</v>
      </c>
      <c r="DJ15" s="314"/>
      <c r="DK15" s="314"/>
      <c r="DL15" s="314"/>
      <c r="DM15" s="314"/>
      <c r="DN15" s="314"/>
      <c r="DP15" s="42"/>
      <c r="DQ15" s="42"/>
      <c r="DR15">
        <v>9.75</v>
      </c>
      <c r="DT15">
        <v>18.25</v>
      </c>
      <c r="DV15">
        <v>15</v>
      </c>
      <c r="EA15" s="308"/>
      <c r="EL15" s="308"/>
      <c r="ER15" s="42"/>
      <c r="EU15" s="42"/>
      <c r="EV15" s="19">
        <f t="shared" si="0"/>
        <v>772</v>
      </c>
      <c r="EW15" s="8">
        <v>772</v>
      </c>
      <c r="EX15" s="13"/>
      <c r="EY15" s="8"/>
      <c r="FA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</row>
    <row r="16" spans="1:168">
      <c r="A16" s="1" t="s">
        <v>19</v>
      </c>
      <c r="T16" s="310"/>
      <c r="U16" s="310"/>
      <c r="X16" s="308"/>
      <c r="Y16" s="308"/>
      <c r="Z16" s="308"/>
      <c r="AA16" s="308"/>
      <c r="AD16">
        <f>3.5+1</f>
        <v>4.5</v>
      </c>
      <c r="AE16">
        <v>22.75</v>
      </c>
      <c r="AF16">
        <v>176</v>
      </c>
      <c r="AM16">
        <v>0.25</v>
      </c>
      <c r="AO16">
        <v>10</v>
      </c>
      <c r="BK16" s="310"/>
      <c r="BP16" s="308">
        <v>4</v>
      </c>
      <c r="BQ16" s="308"/>
      <c r="BR16" s="308"/>
      <c r="BS16" s="308"/>
      <c r="BT16" s="308"/>
      <c r="BV16" s="308"/>
      <c r="BW16" s="308"/>
      <c r="BY16">
        <v>1.25</v>
      </c>
      <c r="CA16" s="308"/>
      <c r="CB16" s="43"/>
      <c r="CC16" s="42"/>
      <c r="CE16" s="42"/>
      <c r="CI16" s="308"/>
      <c r="CJ16" s="308"/>
      <c r="CP16" s="308"/>
      <c r="CQ16" s="310"/>
      <c r="CR16" s="42"/>
      <c r="CV16" s="308"/>
      <c r="CW16" s="308"/>
      <c r="CX16" s="42"/>
      <c r="CY16" s="314"/>
      <c r="CZ16" s="314"/>
      <c r="DA16" s="314"/>
      <c r="DB16" s="314"/>
      <c r="DC16" s="314"/>
      <c r="DD16" s="314"/>
      <c r="DE16" s="314"/>
      <c r="DF16" s="314"/>
      <c r="DG16" s="314"/>
      <c r="DH16" s="314"/>
      <c r="DI16" s="314"/>
      <c r="DJ16" s="314"/>
      <c r="DK16" s="314"/>
      <c r="DL16" s="314"/>
      <c r="DM16" s="314"/>
      <c r="DN16" s="314"/>
      <c r="DP16" s="42"/>
      <c r="DQ16" s="42"/>
      <c r="EA16" s="308"/>
      <c r="EL16" s="308"/>
      <c r="ER16" s="42"/>
      <c r="EU16" s="42"/>
      <c r="EV16" s="19">
        <f t="shared" si="0"/>
        <v>218.75</v>
      </c>
      <c r="EW16" s="8">
        <v>218.75</v>
      </c>
      <c r="EX16" s="297"/>
      <c r="EY16" s="8"/>
      <c r="FA16" s="297"/>
      <c r="FC16" s="298"/>
      <c r="FD16" s="298"/>
      <c r="FE16" s="297"/>
      <c r="FF16" s="297"/>
      <c r="FG16" s="297"/>
      <c r="FH16" s="13"/>
      <c r="FI16" s="13"/>
      <c r="FJ16" s="13"/>
      <c r="FK16" s="13"/>
      <c r="FL16" s="13"/>
    </row>
    <row r="17" spans="1:168">
      <c r="A17" s="1" t="s">
        <v>21</v>
      </c>
      <c r="B17">
        <v>23.5</v>
      </c>
      <c r="I17">
        <v>1</v>
      </c>
      <c r="O17">
        <v>3.5</v>
      </c>
      <c r="P17">
        <v>1</v>
      </c>
      <c r="T17" s="310"/>
      <c r="U17" s="310"/>
      <c r="X17" s="308"/>
      <c r="Y17" s="308">
        <v>2</v>
      </c>
      <c r="Z17" s="308"/>
      <c r="AA17" s="308"/>
      <c r="AD17">
        <v>20.5</v>
      </c>
      <c r="AO17">
        <v>17</v>
      </c>
      <c r="AP17">
        <v>32</v>
      </c>
      <c r="AQ17">
        <v>2.25</v>
      </c>
      <c r="AS17">
        <v>0.5</v>
      </c>
      <c r="AU17">
        <v>5.25</v>
      </c>
      <c r="AW17">
        <v>2.75</v>
      </c>
      <c r="AX17">
        <v>10</v>
      </c>
      <c r="BA17">
        <v>11.25</v>
      </c>
      <c r="BD17">
        <v>1.5</v>
      </c>
      <c r="BE17">
        <v>2</v>
      </c>
      <c r="BK17" s="310">
        <v>0.5</v>
      </c>
      <c r="BP17" s="308">
        <v>6.75</v>
      </c>
      <c r="BQ17" s="308">
        <v>41.75</v>
      </c>
      <c r="BR17" s="308">
        <v>6.25</v>
      </c>
      <c r="BS17" s="308">
        <v>1</v>
      </c>
      <c r="BT17" s="308">
        <v>1.75</v>
      </c>
      <c r="BV17" s="308">
        <v>27</v>
      </c>
      <c r="BW17" s="308"/>
      <c r="BX17">
        <v>7.25</v>
      </c>
      <c r="BY17">
        <v>2.75</v>
      </c>
      <c r="CA17" s="308">
        <v>169.75</v>
      </c>
      <c r="CB17" s="43"/>
      <c r="CC17" s="42"/>
      <c r="CE17" s="42"/>
      <c r="CI17" s="308"/>
      <c r="CJ17" s="308"/>
      <c r="CP17" s="308">
        <v>0.5</v>
      </c>
      <c r="CQ17" s="310"/>
      <c r="CR17" s="42"/>
      <c r="CV17" s="308"/>
      <c r="CW17" s="308"/>
      <c r="CX17" s="42"/>
      <c r="CY17" s="314"/>
      <c r="CZ17" s="314"/>
      <c r="DA17" s="314"/>
      <c r="DB17" s="314"/>
      <c r="DC17" s="314"/>
      <c r="DD17" s="314"/>
      <c r="DE17" s="314"/>
      <c r="DF17" s="314"/>
      <c r="DG17" s="314">
        <v>0.5</v>
      </c>
      <c r="DH17" s="314"/>
      <c r="DI17" s="314"/>
      <c r="DJ17" s="314"/>
      <c r="DK17" s="314"/>
      <c r="DL17" s="314">
        <v>1.5</v>
      </c>
      <c r="DM17" s="314">
        <v>0.25</v>
      </c>
      <c r="DN17" s="314"/>
      <c r="DP17" s="42"/>
      <c r="DQ17" s="42"/>
      <c r="DS17">
        <v>1</v>
      </c>
      <c r="DU17">
        <v>1.75</v>
      </c>
      <c r="EA17" s="308"/>
      <c r="ED17">
        <v>6.5</v>
      </c>
      <c r="EE17">
        <v>36.75</v>
      </c>
      <c r="EF17">
        <v>39</v>
      </c>
      <c r="EJ17">
        <v>48</v>
      </c>
      <c r="EL17" s="308"/>
      <c r="EO17">
        <v>35.5</v>
      </c>
      <c r="EP17">
        <v>1</v>
      </c>
      <c r="ER17" s="42"/>
      <c r="EU17" s="42"/>
      <c r="EV17" s="19">
        <f t="shared" si="0"/>
        <v>573</v>
      </c>
      <c r="EW17" s="8">
        <v>573</v>
      </c>
      <c r="EX17" s="30"/>
      <c r="EY17" s="8"/>
      <c r="FA17" s="297"/>
      <c r="FC17" s="297"/>
      <c r="FD17" s="297"/>
      <c r="FE17" s="297"/>
      <c r="FF17" s="297"/>
      <c r="FG17" s="297"/>
      <c r="FH17" s="13"/>
      <c r="FI17" s="13"/>
      <c r="FJ17" s="13"/>
      <c r="FK17" s="13"/>
      <c r="FL17" s="13"/>
    </row>
    <row r="18" spans="1:168">
      <c r="A18" s="1" t="s">
        <v>22</v>
      </c>
      <c r="I18">
        <v>12.75</v>
      </c>
      <c r="T18" s="310"/>
      <c r="U18" s="310"/>
      <c r="V18">
        <v>0.5</v>
      </c>
      <c r="X18" s="308"/>
      <c r="Y18" s="308"/>
      <c r="Z18" s="308"/>
      <c r="AA18" s="308"/>
      <c r="AD18">
        <v>40</v>
      </c>
      <c r="AO18">
        <v>33.25</v>
      </c>
      <c r="AP18">
        <v>70</v>
      </c>
      <c r="AQ18">
        <v>0.5</v>
      </c>
      <c r="AT18">
        <v>1</v>
      </c>
      <c r="AU18">
        <v>2.25</v>
      </c>
      <c r="AX18">
        <v>0.5</v>
      </c>
      <c r="BA18">
        <f>69.25+40</f>
        <v>109.25</v>
      </c>
      <c r="BB18">
        <v>39</v>
      </c>
      <c r="BC18">
        <v>396.75</v>
      </c>
      <c r="BD18">
        <v>33.75</v>
      </c>
      <c r="BE18">
        <v>70.75</v>
      </c>
      <c r="BF18">
        <v>191</v>
      </c>
      <c r="BG18">
        <v>99.5</v>
      </c>
      <c r="BJ18">
        <v>0.75</v>
      </c>
      <c r="BK18" s="310">
        <v>14.75</v>
      </c>
      <c r="BL18">
        <v>38.5</v>
      </c>
      <c r="BM18">
        <v>0.75</v>
      </c>
      <c r="BN18">
        <v>0.5</v>
      </c>
      <c r="BO18">
        <v>1</v>
      </c>
      <c r="BP18" s="308">
        <v>4.75</v>
      </c>
      <c r="BQ18" s="308">
        <v>7.75</v>
      </c>
      <c r="BR18" s="308"/>
      <c r="BS18" s="308"/>
      <c r="BT18" s="308">
        <v>13.25</v>
      </c>
      <c r="BV18" s="308"/>
      <c r="BW18" s="308"/>
      <c r="BX18">
        <v>9.51</v>
      </c>
      <c r="BY18">
        <v>3.5</v>
      </c>
      <c r="CA18" s="308">
        <v>74.75</v>
      </c>
      <c r="CB18" s="43"/>
      <c r="CC18" s="42"/>
      <c r="CE18" s="42"/>
      <c r="CI18" s="308"/>
      <c r="CJ18" s="308"/>
      <c r="CN18">
        <v>1</v>
      </c>
      <c r="CP18" s="308"/>
      <c r="CQ18" s="310"/>
      <c r="CR18" s="42"/>
      <c r="CV18" s="308"/>
      <c r="CW18" s="308"/>
      <c r="CX18" s="42"/>
      <c r="CY18" s="314"/>
      <c r="CZ18" s="314"/>
      <c r="DA18" s="314"/>
      <c r="DB18" s="314"/>
      <c r="DC18" s="314"/>
      <c r="DD18" s="314"/>
      <c r="DE18" s="314"/>
      <c r="DF18" s="314"/>
      <c r="DG18" s="314"/>
      <c r="DH18" s="314"/>
      <c r="DI18" s="314"/>
      <c r="DJ18" s="314"/>
      <c r="DK18" s="314">
        <v>1.75</v>
      </c>
      <c r="DL18" s="314"/>
      <c r="DM18" s="314">
        <v>3.75</v>
      </c>
      <c r="DN18" s="314">
        <v>5</v>
      </c>
      <c r="DP18" s="42"/>
      <c r="DQ18" s="42"/>
      <c r="EA18" s="308"/>
      <c r="EF18">
        <v>109.75</v>
      </c>
      <c r="EJ18">
        <v>1.25</v>
      </c>
      <c r="EK18">
        <v>4.25</v>
      </c>
      <c r="EL18" s="308"/>
      <c r="EQ18">
        <v>4.25</v>
      </c>
      <c r="ER18" s="42"/>
      <c r="ES18">
        <v>1</v>
      </c>
      <c r="EU18" s="42"/>
      <c r="EV18" s="19">
        <f t="shared" si="0"/>
        <v>1402.51</v>
      </c>
      <c r="EW18" s="8">
        <v>1402.51</v>
      </c>
      <c r="EX18" s="30"/>
      <c r="EY18" s="8"/>
      <c r="FA18" s="297"/>
      <c r="FC18" s="297"/>
      <c r="FD18" s="297"/>
      <c r="FE18" s="297"/>
      <c r="FF18" s="297"/>
      <c r="FG18" s="297"/>
      <c r="FH18" s="13"/>
      <c r="FI18" s="13"/>
      <c r="FJ18" s="13"/>
      <c r="FK18" s="13"/>
      <c r="FL18" s="13"/>
    </row>
    <row r="19" spans="1:168">
      <c r="A19" s="1" t="s">
        <v>23</v>
      </c>
      <c r="T19" s="310"/>
      <c r="U19" s="310"/>
      <c r="X19" s="308"/>
      <c r="Y19" s="308"/>
      <c r="Z19" s="308"/>
      <c r="AA19" s="308"/>
      <c r="AD19">
        <f>54.75+39</f>
        <v>93.75</v>
      </c>
      <c r="AE19">
        <v>261</v>
      </c>
      <c r="AF19">
        <v>411.5</v>
      </c>
      <c r="AH19">
        <v>64</v>
      </c>
      <c r="AI19">
        <v>13.5</v>
      </c>
      <c r="AJ19">
        <v>9.5</v>
      </c>
      <c r="AK19">
        <v>3</v>
      </c>
      <c r="AL19">
        <v>7.25</v>
      </c>
      <c r="AM19">
        <v>28.5</v>
      </c>
      <c r="AO19">
        <v>30.75</v>
      </c>
      <c r="BK19" s="310"/>
      <c r="BP19" s="308">
        <v>63.5</v>
      </c>
      <c r="BQ19" s="308"/>
      <c r="BR19" s="308"/>
      <c r="BS19" s="308"/>
      <c r="BT19" s="308"/>
      <c r="BV19" s="308"/>
      <c r="BW19" s="308"/>
      <c r="BX19">
        <v>7.13</v>
      </c>
      <c r="BY19">
        <v>17</v>
      </c>
      <c r="CA19" s="308">
        <v>9</v>
      </c>
      <c r="CB19" s="43"/>
      <c r="CC19" s="42"/>
      <c r="CE19" s="42"/>
      <c r="CI19" s="308"/>
      <c r="CJ19" s="308"/>
      <c r="CP19" s="308"/>
      <c r="CQ19" s="310"/>
      <c r="CR19" s="42"/>
      <c r="CV19" s="308">
        <v>1.5</v>
      </c>
      <c r="CW19" s="308"/>
      <c r="CX19" s="42"/>
      <c r="CY19" s="314"/>
      <c r="CZ19" s="314"/>
      <c r="DA19" s="314"/>
      <c r="DB19" s="314"/>
      <c r="DC19" s="314"/>
      <c r="DD19" s="314"/>
      <c r="DE19" s="314"/>
      <c r="DF19" s="314"/>
      <c r="DG19" s="314"/>
      <c r="DH19" s="314"/>
      <c r="DI19" s="314">
        <v>6.5</v>
      </c>
      <c r="DJ19" s="314">
        <v>7.5</v>
      </c>
      <c r="DK19" s="314"/>
      <c r="DL19" s="314"/>
      <c r="DM19" s="314"/>
      <c r="DN19" s="314"/>
      <c r="DP19" s="42"/>
      <c r="DQ19" s="42"/>
      <c r="DV19">
        <v>11</v>
      </c>
      <c r="DW19">
        <v>27.75</v>
      </c>
      <c r="DZ19">
        <v>18.5</v>
      </c>
      <c r="EA19" s="308"/>
      <c r="EL19" s="308"/>
      <c r="ER19" s="42"/>
      <c r="EU19" s="42"/>
      <c r="EV19" s="19">
        <f t="shared" si="0"/>
        <v>1092.1300000000001</v>
      </c>
      <c r="EW19" s="8">
        <v>1092.1300000000001</v>
      </c>
      <c r="EX19" s="30"/>
      <c r="EY19" s="8"/>
      <c r="FA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</row>
    <row r="20" spans="1:168" s="6" customFormat="1">
      <c r="A20" s="5" t="s">
        <v>10</v>
      </c>
      <c r="B20" s="6">
        <v>37.5</v>
      </c>
      <c r="I20" s="6">
        <v>12</v>
      </c>
      <c r="J20" s="6">
        <v>11</v>
      </c>
      <c r="L20" s="6">
        <v>0.25</v>
      </c>
      <c r="T20" s="310"/>
      <c r="U20" s="310"/>
      <c r="X20" s="309"/>
      <c r="Y20" s="309"/>
      <c r="Z20" s="309"/>
      <c r="AA20" s="309"/>
      <c r="AC20" s="6">
        <v>1.25</v>
      </c>
      <c r="AD20" s="6">
        <v>0.25</v>
      </c>
      <c r="AO20" s="6">
        <v>4.75</v>
      </c>
      <c r="AS20" s="6">
        <v>1.5</v>
      </c>
      <c r="AT20" s="6">
        <v>1</v>
      </c>
      <c r="AU20" s="6">
        <v>0.5</v>
      </c>
      <c r="BA20" s="6">
        <v>1</v>
      </c>
      <c r="BC20" s="6">
        <v>183.5</v>
      </c>
      <c r="BE20" s="6">
        <v>0.25</v>
      </c>
      <c r="BF20" s="6">
        <v>305.75</v>
      </c>
      <c r="BH20" s="6">
        <v>278</v>
      </c>
      <c r="BK20" s="310">
        <f>80.5+14.5</f>
        <v>95</v>
      </c>
      <c r="BL20" s="6">
        <v>47.5</v>
      </c>
      <c r="BM20" s="6">
        <v>15.5</v>
      </c>
      <c r="BO20" s="6">
        <v>5.75</v>
      </c>
      <c r="BP20" s="309"/>
      <c r="BQ20" s="309">
        <v>21.5</v>
      </c>
      <c r="BR20" s="309"/>
      <c r="BS20" s="309"/>
      <c r="BT20" s="309">
        <v>52.63</v>
      </c>
      <c r="BV20" s="309"/>
      <c r="BW20" s="309"/>
      <c r="BX20" s="6">
        <v>1.75</v>
      </c>
      <c r="BY20" s="6">
        <v>2.5</v>
      </c>
      <c r="BZ20" s="6">
        <v>0.25</v>
      </c>
      <c r="CA20" s="309"/>
      <c r="CB20" s="43"/>
      <c r="CC20" s="43"/>
      <c r="CE20" s="43"/>
      <c r="CH20" s="6">
        <v>4</v>
      </c>
      <c r="CI20" s="309"/>
      <c r="CJ20" s="309"/>
      <c r="CP20" s="309"/>
      <c r="CQ20" s="310"/>
      <c r="CR20" s="43"/>
      <c r="CV20" s="309"/>
      <c r="CW20" s="309"/>
      <c r="CX20" s="43"/>
      <c r="CY20" s="315">
        <v>1.5</v>
      </c>
      <c r="CZ20" s="315">
        <v>2.25</v>
      </c>
      <c r="DA20" s="315">
        <v>2.75</v>
      </c>
      <c r="DB20" s="315"/>
      <c r="DC20" s="315"/>
      <c r="DD20" s="315"/>
      <c r="DE20" s="315"/>
      <c r="DF20" s="315"/>
      <c r="DG20" s="315"/>
      <c r="DH20" s="315"/>
      <c r="DI20" s="315"/>
      <c r="DJ20" s="315">
        <v>1</v>
      </c>
      <c r="DK20" s="315"/>
      <c r="DL20" s="315"/>
      <c r="DM20" s="315"/>
      <c r="DN20" s="315">
        <v>5.25</v>
      </c>
      <c r="DO20" s="6">
        <v>10.75</v>
      </c>
      <c r="DP20" s="43"/>
      <c r="DQ20" s="43"/>
      <c r="DV20" s="6">
        <v>1</v>
      </c>
      <c r="DZ20" s="6">
        <v>0.5</v>
      </c>
      <c r="EA20" s="309">
        <v>2.25</v>
      </c>
      <c r="EG20" s="6">
        <v>10.75</v>
      </c>
      <c r="EL20" s="309"/>
      <c r="EQ20" s="6">
        <v>8</v>
      </c>
      <c r="ER20" s="43"/>
      <c r="EU20" s="43"/>
      <c r="EV20" s="19">
        <f t="shared" si="0"/>
        <v>1130.8800000000001</v>
      </c>
      <c r="EW20" s="8">
        <v>1130.8800000000001</v>
      </c>
      <c r="EY20" s="8"/>
      <c r="EZ20"/>
      <c r="FB20"/>
    </row>
    <row r="21" spans="1:168" s="6" customFormat="1">
      <c r="A21" s="5" t="s">
        <v>18</v>
      </c>
      <c r="B21" s="6">
        <v>3.75</v>
      </c>
      <c r="T21" s="310"/>
      <c r="U21" s="310"/>
      <c r="X21" s="309">
        <v>117.5</v>
      </c>
      <c r="Y21" s="309">
        <v>108.25</v>
      </c>
      <c r="Z21" s="309">
        <v>125</v>
      </c>
      <c r="AA21" s="309">
        <v>14.25</v>
      </c>
      <c r="AB21" s="6">
        <v>4.75</v>
      </c>
      <c r="AE21" s="6">
        <v>16.25</v>
      </c>
      <c r="AP21" s="6">
        <f>486+69</f>
        <v>555</v>
      </c>
      <c r="AX21" s="6">
        <v>5</v>
      </c>
      <c r="AZ21" s="6">
        <v>5.5</v>
      </c>
      <c r="BE21" s="6">
        <v>2.5</v>
      </c>
      <c r="BG21" s="6">
        <v>80</v>
      </c>
      <c r="BK21" s="310"/>
      <c r="BM21" s="6">
        <v>7.75</v>
      </c>
      <c r="BP21" s="309"/>
      <c r="BQ21" s="309">
        <v>4.75</v>
      </c>
      <c r="BR21" s="309"/>
      <c r="BS21" s="309"/>
      <c r="BT21" s="309">
        <v>94.38</v>
      </c>
      <c r="BU21" s="6">
        <v>43.75</v>
      </c>
      <c r="BV21" s="309">
        <v>15.25</v>
      </c>
      <c r="BW21" s="309">
        <v>11.25</v>
      </c>
      <c r="CA21" s="309">
        <v>20</v>
      </c>
      <c r="CB21" s="43"/>
      <c r="CC21" s="43"/>
      <c r="CE21" s="43"/>
      <c r="CI21" s="309"/>
      <c r="CJ21" s="309"/>
      <c r="CP21" s="309"/>
      <c r="CQ21" s="310"/>
      <c r="CR21" s="43"/>
      <c r="CV21" s="309"/>
      <c r="CW21" s="309"/>
      <c r="CX21" s="43"/>
      <c r="CY21" s="315"/>
      <c r="CZ21" s="315"/>
      <c r="DA21" s="315"/>
      <c r="DB21" s="315"/>
      <c r="DC21" s="315"/>
      <c r="DD21" s="315"/>
      <c r="DE21" s="315"/>
      <c r="DF21" s="315"/>
      <c r="DG21" s="315"/>
      <c r="DH21" s="315"/>
      <c r="DI21" s="315"/>
      <c r="DJ21" s="315"/>
      <c r="DK21" s="315"/>
      <c r="DL21" s="315"/>
      <c r="DM21" s="315"/>
      <c r="DN21" s="315"/>
      <c r="DP21" s="43"/>
      <c r="DQ21" s="43"/>
      <c r="EA21" s="309">
        <v>1.5</v>
      </c>
      <c r="EG21" s="6">
        <v>15</v>
      </c>
      <c r="EL21" s="309">
        <v>9.5</v>
      </c>
      <c r="EN21" s="6">
        <v>28</v>
      </c>
      <c r="ER21" s="43"/>
      <c r="EU21" s="43"/>
      <c r="EV21" s="19">
        <f t="shared" si="0"/>
        <v>1288.8800000000001</v>
      </c>
      <c r="EW21" s="8">
        <v>1288.8800000000001</v>
      </c>
      <c r="EX21" s="30"/>
      <c r="EY21" s="8"/>
      <c r="EZ21"/>
      <c r="FB21"/>
    </row>
    <row r="22" spans="1:168" s="6" customFormat="1">
      <c r="A22" s="5" t="s">
        <v>20</v>
      </c>
      <c r="B22" s="6">
        <v>7.5</v>
      </c>
      <c r="G22" s="6">
        <v>0.75</v>
      </c>
      <c r="I22" s="6">
        <v>20</v>
      </c>
      <c r="J22" s="6">
        <v>70</v>
      </c>
      <c r="K22" s="6">
        <v>14.75</v>
      </c>
      <c r="L22" s="6">
        <v>3.25</v>
      </c>
      <c r="O22" s="6">
        <v>10</v>
      </c>
      <c r="T22" s="310"/>
      <c r="U22" s="310"/>
      <c r="X22" s="309"/>
      <c r="Y22" s="309"/>
      <c r="Z22" s="309"/>
      <c r="AA22" s="309"/>
      <c r="AB22" s="6">
        <v>26.25</v>
      </c>
      <c r="AD22" s="6">
        <v>0.75</v>
      </c>
      <c r="AO22" s="6">
        <v>1.5</v>
      </c>
      <c r="AQ22" s="6">
        <v>6.5</v>
      </c>
      <c r="AR22" s="6">
        <v>0.5</v>
      </c>
      <c r="BA22" s="6">
        <v>7</v>
      </c>
      <c r="BC22" s="6">
        <v>17.75</v>
      </c>
      <c r="BE22" s="6">
        <v>14.25</v>
      </c>
      <c r="BF22" s="6">
        <v>0.25</v>
      </c>
      <c r="BG22" s="6">
        <v>74</v>
      </c>
      <c r="BH22" s="6">
        <v>2.75</v>
      </c>
      <c r="BI22" s="6">
        <v>49.75</v>
      </c>
      <c r="BK22" s="310">
        <f>58+11.5</f>
        <v>69.5</v>
      </c>
      <c r="BL22" s="6">
        <v>182.25</v>
      </c>
      <c r="BM22" s="6">
        <v>15</v>
      </c>
      <c r="BO22" s="6">
        <v>23.5</v>
      </c>
      <c r="BP22" s="309"/>
      <c r="BQ22" s="309">
        <v>7.5</v>
      </c>
      <c r="BR22" s="309">
        <v>0.25</v>
      </c>
      <c r="BS22" s="309">
        <v>8.25</v>
      </c>
      <c r="BT22" s="309"/>
      <c r="BV22" s="309"/>
      <c r="BW22" s="309"/>
      <c r="BX22" s="6">
        <v>3</v>
      </c>
      <c r="BY22" s="6">
        <v>3.5</v>
      </c>
      <c r="BZ22" s="6">
        <v>0.25</v>
      </c>
      <c r="CA22" s="309"/>
      <c r="CB22" s="43"/>
      <c r="CC22" s="43"/>
      <c r="CE22" s="43"/>
      <c r="CG22" s="6">
        <v>2.75</v>
      </c>
      <c r="CI22" s="309"/>
      <c r="CJ22" s="309"/>
      <c r="CL22" s="6">
        <v>2.25</v>
      </c>
      <c r="CP22" s="309"/>
      <c r="CQ22" s="310"/>
      <c r="CR22" s="43"/>
      <c r="CT22" s="6">
        <v>3.5</v>
      </c>
      <c r="CV22" s="309"/>
      <c r="CW22" s="309"/>
      <c r="CX22" s="43"/>
      <c r="CY22" s="315"/>
      <c r="CZ22" s="315"/>
      <c r="DA22" s="315"/>
      <c r="DB22" s="315"/>
      <c r="DC22" s="315">
        <v>28.5</v>
      </c>
      <c r="DD22" s="315">
        <v>2</v>
      </c>
      <c r="DE22" s="315"/>
      <c r="DF22" s="315"/>
      <c r="DG22" s="315">
        <v>15</v>
      </c>
      <c r="DH22" s="315">
        <v>1.5</v>
      </c>
      <c r="DI22" s="315"/>
      <c r="DJ22" s="315"/>
      <c r="DK22" s="315"/>
      <c r="DL22" s="315"/>
      <c r="DM22" s="315">
        <v>1</v>
      </c>
      <c r="DN22" s="315">
        <v>0.75</v>
      </c>
      <c r="DP22" s="43"/>
      <c r="DQ22" s="43"/>
      <c r="DS22" s="6">
        <v>1</v>
      </c>
      <c r="EA22" s="309">
        <v>7</v>
      </c>
      <c r="EB22" s="6">
        <v>2</v>
      </c>
      <c r="EC22" s="6">
        <v>8.75</v>
      </c>
      <c r="EE22" s="6">
        <v>9.75</v>
      </c>
      <c r="EH22" s="6">
        <v>1.5</v>
      </c>
      <c r="EI22" s="6">
        <v>0.75</v>
      </c>
      <c r="EJ22" s="6">
        <v>7.25</v>
      </c>
      <c r="EL22" s="309"/>
      <c r="EM22" s="6">
        <v>1.25</v>
      </c>
      <c r="EQ22" s="6">
        <v>2.5</v>
      </c>
      <c r="ER22" s="43"/>
      <c r="ET22" s="6">
        <v>0.75</v>
      </c>
      <c r="EU22" s="43"/>
      <c r="EV22" s="19">
        <f t="shared" si="0"/>
        <v>740.25</v>
      </c>
      <c r="EW22" s="8">
        <v>740.25</v>
      </c>
      <c r="EY22" s="8"/>
      <c r="EZ22"/>
      <c r="FB22"/>
    </row>
    <row r="23" spans="1:168" s="21" customFormat="1">
      <c r="A23" s="21" t="s">
        <v>2688</v>
      </c>
      <c r="T23" s="310"/>
      <c r="U23" s="310"/>
      <c r="X23" s="310"/>
      <c r="Y23" s="310"/>
      <c r="Z23" s="310"/>
      <c r="AA23" s="310"/>
      <c r="BK23" s="310"/>
      <c r="BP23" s="310"/>
      <c r="BQ23" s="310"/>
      <c r="BR23" s="310"/>
      <c r="BS23" s="310"/>
      <c r="BT23" s="310"/>
      <c r="BV23" s="310"/>
      <c r="BW23" s="310"/>
      <c r="CA23" s="310"/>
      <c r="CB23" s="44"/>
      <c r="CC23" s="44"/>
      <c r="CD23" s="21">
        <v>409</v>
      </c>
      <c r="CE23" s="44"/>
      <c r="CI23" s="310"/>
      <c r="CJ23" s="310"/>
      <c r="CP23" s="310"/>
      <c r="CQ23" s="310"/>
      <c r="CR23" s="44"/>
      <c r="CV23" s="310"/>
      <c r="CW23" s="310"/>
      <c r="CX23" s="44"/>
      <c r="CY23" s="316"/>
      <c r="CZ23" s="316"/>
      <c r="DA23" s="316"/>
      <c r="DB23" s="316"/>
      <c r="DC23" s="316"/>
      <c r="DD23" s="316"/>
      <c r="DE23" s="316"/>
      <c r="DF23" s="316"/>
      <c r="DG23" s="316"/>
      <c r="DH23" s="316"/>
      <c r="DI23" s="316"/>
      <c r="DJ23" s="316"/>
      <c r="DK23" s="316"/>
      <c r="DL23" s="316"/>
      <c r="DM23" s="316"/>
      <c r="DN23" s="316"/>
      <c r="DP23" s="44"/>
      <c r="DQ23" s="44"/>
      <c r="EA23" s="310"/>
      <c r="EL23" s="310"/>
      <c r="ER23" s="44"/>
      <c r="EU23" s="44"/>
      <c r="EV23" s="19">
        <f t="shared" si="0"/>
        <v>409</v>
      </c>
      <c r="EW23" s="46">
        <v>409</v>
      </c>
      <c r="EY23" s="46"/>
      <c r="EZ23"/>
      <c r="FB23"/>
    </row>
    <row r="24" spans="1:168" s="21" customFormat="1">
      <c r="A24" s="21" t="s">
        <v>153</v>
      </c>
      <c r="T24" s="310"/>
      <c r="U24" s="310"/>
      <c r="X24" s="310"/>
      <c r="Y24" s="310"/>
      <c r="Z24" s="310">
        <v>195.45</v>
      </c>
      <c r="AA24" s="310"/>
      <c r="BK24" s="310"/>
      <c r="BP24" s="310"/>
      <c r="BQ24" s="310"/>
      <c r="BR24" s="310"/>
      <c r="BS24" s="310"/>
      <c r="BT24" s="310"/>
      <c r="BV24" s="310"/>
      <c r="BW24" s="310"/>
      <c r="CA24" s="310"/>
      <c r="CB24" s="44"/>
      <c r="CC24" s="44"/>
      <c r="CE24" s="44"/>
      <c r="CI24" s="310"/>
      <c r="CJ24" s="310"/>
      <c r="CP24" s="310"/>
      <c r="CQ24" s="310"/>
      <c r="CR24" s="44"/>
      <c r="CV24" s="310"/>
      <c r="CW24" s="310"/>
      <c r="CX24" s="44"/>
      <c r="CY24" s="316"/>
      <c r="CZ24" s="316"/>
      <c r="DA24" s="316"/>
      <c r="DB24" s="316"/>
      <c r="DC24" s="316"/>
      <c r="DD24" s="316"/>
      <c r="DE24" s="316"/>
      <c r="DF24" s="316"/>
      <c r="DG24" s="316"/>
      <c r="DH24" s="316"/>
      <c r="DI24" s="316"/>
      <c r="DJ24" s="316"/>
      <c r="DK24" s="316"/>
      <c r="DL24" s="316"/>
      <c r="DM24" s="316"/>
      <c r="DN24" s="316"/>
      <c r="DP24" s="44"/>
      <c r="DQ24" s="44"/>
      <c r="EA24" s="310"/>
      <c r="EL24" s="310"/>
      <c r="ER24" s="44"/>
      <c r="EU24" s="44"/>
      <c r="EV24" s="19">
        <f t="shared" si="0"/>
        <v>195.45</v>
      </c>
      <c r="EW24" s="46">
        <v>195.45</v>
      </c>
      <c r="EY24" s="46"/>
      <c r="EZ24"/>
      <c r="FB24"/>
    </row>
    <row r="25" spans="1:168" s="2" customFormat="1">
      <c r="A25" s="2" t="s">
        <v>29</v>
      </c>
      <c r="M25" s="2">
        <v>125.5</v>
      </c>
      <c r="N25" s="2">
        <v>8.5</v>
      </c>
      <c r="T25" s="310"/>
      <c r="U25" s="310"/>
      <c r="X25" s="308"/>
      <c r="Y25" s="308"/>
      <c r="Z25" s="308"/>
      <c r="AA25" s="308"/>
      <c r="AY25" s="2">
        <v>88</v>
      </c>
      <c r="BK25" s="310"/>
      <c r="BP25" s="308"/>
      <c r="BQ25" s="308"/>
      <c r="BR25" s="308"/>
      <c r="BS25" s="308"/>
      <c r="BT25" s="308"/>
      <c r="BV25" s="308"/>
      <c r="BW25" s="308"/>
      <c r="CA25" s="308"/>
      <c r="CB25" s="42"/>
      <c r="CC25" s="42"/>
      <c r="CE25" s="42"/>
      <c r="CI25" s="308">
        <v>2.5</v>
      </c>
      <c r="CJ25" s="308"/>
      <c r="CP25" s="308"/>
      <c r="CQ25" s="310"/>
      <c r="CR25" s="42"/>
      <c r="CV25" s="308"/>
      <c r="CW25" s="308"/>
      <c r="CX25" s="42"/>
      <c r="CY25" s="314"/>
      <c r="CZ25" s="314"/>
      <c r="DA25" s="314"/>
      <c r="DB25" s="314"/>
      <c r="DC25" s="314"/>
      <c r="DD25" s="314"/>
      <c r="DE25" s="314">
        <v>2.5</v>
      </c>
      <c r="DF25" s="314"/>
      <c r="DG25" s="314"/>
      <c r="DH25" s="314"/>
      <c r="DI25" s="314"/>
      <c r="DJ25" s="314"/>
      <c r="DK25" s="314"/>
      <c r="DL25" s="314"/>
      <c r="DM25" s="314"/>
      <c r="DN25" s="314"/>
      <c r="DP25" s="42"/>
      <c r="DQ25" s="42"/>
      <c r="EA25" s="308"/>
      <c r="EL25" s="308"/>
      <c r="ER25" s="42"/>
      <c r="EU25" s="42"/>
      <c r="EV25" s="19">
        <f t="shared" si="0"/>
        <v>227</v>
      </c>
      <c r="EW25" s="46">
        <v>227</v>
      </c>
      <c r="EX25" s="46">
        <f>SUM(EW2:EW25)</f>
        <v>17366.140000000003</v>
      </c>
      <c r="EY25" s="46"/>
      <c r="EZ25"/>
      <c r="FB25"/>
    </row>
    <row r="26" spans="1:168" s="19" customFormat="1">
      <c r="A26" s="19" t="s">
        <v>33</v>
      </c>
      <c r="B26" s="19">
        <f>SUM(B2:B25)</f>
        <v>605.25</v>
      </c>
      <c r="C26" s="19">
        <f t="shared" ref="C26:BN26" si="1">SUM(C2:C25)</f>
        <v>26.25</v>
      </c>
      <c r="D26" s="19">
        <f t="shared" si="1"/>
        <v>156</v>
      </c>
      <c r="E26" s="19">
        <f t="shared" si="1"/>
        <v>19.75</v>
      </c>
      <c r="F26" s="19">
        <f t="shared" si="1"/>
        <v>503.5</v>
      </c>
      <c r="G26" s="19">
        <f t="shared" si="1"/>
        <v>9.75</v>
      </c>
      <c r="H26" s="19">
        <f t="shared" si="1"/>
        <v>1189.5</v>
      </c>
      <c r="I26" s="19">
        <f t="shared" si="1"/>
        <v>49.5</v>
      </c>
      <c r="J26" s="19">
        <f t="shared" si="1"/>
        <v>81.25</v>
      </c>
      <c r="K26" s="19">
        <f t="shared" si="1"/>
        <v>14.75</v>
      </c>
      <c r="L26" s="19">
        <f t="shared" si="1"/>
        <v>3.5</v>
      </c>
      <c r="M26" s="19">
        <f t="shared" si="1"/>
        <v>163.5</v>
      </c>
      <c r="N26" s="19">
        <f t="shared" si="1"/>
        <v>9.5</v>
      </c>
      <c r="O26" s="19">
        <f t="shared" si="1"/>
        <v>17</v>
      </c>
      <c r="P26" s="19">
        <f t="shared" si="1"/>
        <v>143.5</v>
      </c>
      <c r="Q26" s="19">
        <f t="shared" si="1"/>
        <v>10</v>
      </c>
      <c r="R26" s="19">
        <f t="shared" si="1"/>
        <v>68.5</v>
      </c>
      <c r="S26" s="19">
        <f t="shared" si="1"/>
        <v>15.25</v>
      </c>
      <c r="T26" s="310"/>
      <c r="U26" s="310"/>
      <c r="V26" s="19">
        <f t="shared" si="1"/>
        <v>160.75</v>
      </c>
      <c r="W26" s="19">
        <f t="shared" si="1"/>
        <v>0</v>
      </c>
      <c r="X26" s="308"/>
      <c r="Y26" s="308"/>
      <c r="Z26" s="308"/>
      <c r="AA26" s="308"/>
      <c r="AB26" s="19">
        <f t="shared" si="1"/>
        <v>31</v>
      </c>
      <c r="AC26" s="19">
        <f t="shared" si="1"/>
        <v>1.25</v>
      </c>
      <c r="AD26" s="19">
        <f t="shared" si="1"/>
        <v>558</v>
      </c>
      <c r="AE26" s="19">
        <f t="shared" si="1"/>
        <v>1054.5</v>
      </c>
      <c r="AF26" s="19">
        <f t="shared" si="1"/>
        <v>1755.75</v>
      </c>
      <c r="AG26" s="19">
        <f t="shared" si="1"/>
        <v>268</v>
      </c>
      <c r="AH26" s="19">
        <f t="shared" si="1"/>
        <v>152.5</v>
      </c>
      <c r="AI26" s="19">
        <f t="shared" si="1"/>
        <v>24.75</v>
      </c>
      <c r="AJ26" s="19">
        <f t="shared" si="1"/>
        <v>20</v>
      </c>
      <c r="AK26" s="19">
        <f t="shared" si="1"/>
        <v>3</v>
      </c>
      <c r="AL26" s="19">
        <f t="shared" si="1"/>
        <v>17.25</v>
      </c>
      <c r="AM26" s="19">
        <f t="shared" si="1"/>
        <v>42.75</v>
      </c>
      <c r="AN26" s="19">
        <f t="shared" si="1"/>
        <v>2</v>
      </c>
      <c r="AO26" s="19">
        <f t="shared" si="1"/>
        <v>216.38</v>
      </c>
      <c r="AP26" s="19">
        <f t="shared" si="1"/>
        <v>756.5</v>
      </c>
      <c r="AQ26" s="19">
        <f t="shared" si="1"/>
        <v>908.75</v>
      </c>
      <c r="AR26" s="19">
        <f t="shared" si="1"/>
        <v>265.25</v>
      </c>
      <c r="AS26" s="19">
        <f t="shared" si="1"/>
        <v>175</v>
      </c>
      <c r="AT26" s="19">
        <f t="shared" si="1"/>
        <v>107</v>
      </c>
      <c r="AU26" s="19">
        <f t="shared" si="1"/>
        <v>175.75</v>
      </c>
      <c r="AV26" s="19">
        <f t="shared" si="1"/>
        <v>0.75</v>
      </c>
      <c r="AW26" s="19">
        <f t="shared" si="1"/>
        <v>2.75</v>
      </c>
      <c r="AX26" s="19">
        <f t="shared" si="1"/>
        <v>31.25</v>
      </c>
      <c r="AY26" s="19">
        <f t="shared" si="1"/>
        <v>125.5</v>
      </c>
      <c r="AZ26" s="19">
        <f t="shared" si="1"/>
        <v>6.75</v>
      </c>
      <c r="BA26" s="19">
        <f t="shared" si="1"/>
        <v>269</v>
      </c>
      <c r="BB26" s="19">
        <f t="shared" si="1"/>
        <v>40.25</v>
      </c>
      <c r="BC26" s="19">
        <f t="shared" si="1"/>
        <v>1315</v>
      </c>
      <c r="BD26" s="19">
        <f t="shared" si="1"/>
        <v>38</v>
      </c>
      <c r="BE26" s="19">
        <f t="shared" si="1"/>
        <v>119.5</v>
      </c>
      <c r="BF26" s="19">
        <f t="shared" si="1"/>
        <v>613.25</v>
      </c>
      <c r="BG26" s="19">
        <f t="shared" si="1"/>
        <v>270.5</v>
      </c>
      <c r="BH26" s="19">
        <f t="shared" si="1"/>
        <v>280.75</v>
      </c>
      <c r="BI26" s="19">
        <f t="shared" si="1"/>
        <v>49.75</v>
      </c>
      <c r="BJ26" s="19">
        <f t="shared" si="1"/>
        <v>0.75</v>
      </c>
      <c r="BK26" s="310"/>
      <c r="BL26" s="19">
        <f t="shared" si="1"/>
        <v>329.25</v>
      </c>
      <c r="BM26" s="19">
        <f t="shared" si="1"/>
        <v>49.5</v>
      </c>
      <c r="BN26" s="19">
        <f t="shared" si="1"/>
        <v>0.5</v>
      </c>
      <c r="BO26" s="19">
        <f t="shared" ref="BO26:DZ26" si="2">SUM(BO2:BO25)</f>
        <v>34.75</v>
      </c>
      <c r="BP26" s="308"/>
      <c r="BQ26" s="308"/>
      <c r="BR26" s="308"/>
      <c r="BS26" s="308"/>
      <c r="BT26" s="308"/>
      <c r="BU26" s="19">
        <f>SUM(BU2:BU25)</f>
        <v>198.25</v>
      </c>
      <c r="BV26" s="308"/>
      <c r="BW26" s="308"/>
      <c r="BX26" s="19">
        <f t="shared" si="2"/>
        <v>57.91</v>
      </c>
      <c r="BY26" s="19">
        <f t="shared" si="2"/>
        <v>101.25</v>
      </c>
      <c r="BZ26" s="19">
        <f t="shared" si="2"/>
        <v>1.75</v>
      </c>
      <c r="CA26" s="308"/>
      <c r="CB26" s="42"/>
      <c r="CC26" s="42"/>
      <c r="CD26" s="19">
        <f>SUM(CD2:CD25)</f>
        <v>409.75</v>
      </c>
      <c r="CE26" s="42"/>
      <c r="CF26" s="19">
        <f t="shared" si="2"/>
        <v>1.5</v>
      </c>
      <c r="CG26" s="19">
        <f t="shared" si="2"/>
        <v>2.75</v>
      </c>
      <c r="CH26" s="19">
        <f t="shared" si="2"/>
        <v>4</v>
      </c>
      <c r="CI26" s="308"/>
      <c r="CJ26" s="308"/>
      <c r="CK26" s="19">
        <f t="shared" si="2"/>
        <v>17</v>
      </c>
      <c r="CL26" s="19">
        <f t="shared" si="2"/>
        <v>2.25</v>
      </c>
      <c r="CM26" s="19">
        <f t="shared" si="2"/>
        <v>3.5</v>
      </c>
      <c r="CN26" s="19">
        <f t="shared" si="2"/>
        <v>2.25</v>
      </c>
      <c r="CO26" s="19">
        <f t="shared" si="2"/>
        <v>2.5</v>
      </c>
      <c r="CP26" s="308"/>
      <c r="CQ26" s="310"/>
      <c r="CR26" s="42"/>
      <c r="CS26" s="19">
        <f t="shared" si="2"/>
        <v>7.25</v>
      </c>
      <c r="CT26" s="19">
        <f t="shared" si="2"/>
        <v>3.5</v>
      </c>
      <c r="CU26" s="19">
        <f t="shared" si="2"/>
        <v>0.5</v>
      </c>
      <c r="CV26" s="308"/>
      <c r="CW26" s="308"/>
      <c r="CX26" s="42"/>
      <c r="CY26" s="314"/>
      <c r="CZ26" s="314"/>
      <c r="DA26" s="314"/>
      <c r="DB26" s="314"/>
      <c r="DC26" s="314"/>
      <c r="DD26" s="314"/>
      <c r="DE26" s="314"/>
      <c r="DF26" s="314"/>
      <c r="DG26" s="314"/>
      <c r="DH26" s="314"/>
      <c r="DI26" s="314"/>
      <c r="DJ26" s="314"/>
      <c r="DK26" s="314"/>
      <c r="DL26" s="314"/>
      <c r="DM26" s="314"/>
      <c r="DN26" s="314"/>
      <c r="DO26" s="19">
        <f t="shared" si="2"/>
        <v>10.75</v>
      </c>
      <c r="DP26" s="42"/>
      <c r="DQ26" s="42"/>
      <c r="DR26" s="19">
        <f t="shared" si="2"/>
        <v>13.25</v>
      </c>
      <c r="DS26" s="19">
        <f t="shared" si="2"/>
        <v>127.25</v>
      </c>
      <c r="DT26" s="19">
        <f t="shared" si="2"/>
        <v>151.25</v>
      </c>
      <c r="DU26" s="19">
        <f t="shared" si="2"/>
        <v>44.5</v>
      </c>
      <c r="DV26" s="19">
        <f t="shared" si="2"/>
        <v>81</v>
      </c>
      <c r="DW26" s="19">
        <f t="shared" si="2"/>
        <v>29.75</v>
      </c>
      <c r="DX26" s="19">
        <f t="shared" si="2"/>
        <v>26.75</v>
      </c>
      <c r="DY26" s="19">
        <f t="shared" si="2"/>
        <v>0.5</v>
      </c>
      <c r="DZ26" s="19">
        <f t="shared" si="2"/>
        <v>19</v>
      </c>
      <c r="EA26" s="308"/>
      <c r="EB26" s="19">
        <f t="shared" ref="EB26:ET26" si="3">SUM(EB2:EB25)</f>
        <v>4.75</v>
      </c>
      <c r="EC26" s="19">
        <f t="shared" si="3"/>
        <v>8.75</v>
      </c>
      <c r="ED26" s="19">
        <f t="shared" si="3"/>
        <v>6.5</v>
      </c>
      <c r="EE26" s="19">
        <f t="shared" si="3"/>
        <v>236.75</v>
      </c>
      <c r="EF26" s="19">
        <f t="shared" si="3"/>
        <v>148.75</v>
      </c>
      <c r="EG26" s="19">
        <f t="shared" si="3"/>
        <v>25.75</v>
      </c>
      <c r="EH26" s="19">
        <f t="shared" si="3"/>
        <v>1.5</v>
      </c>
      <c r="EI26" s="19">
        <f t="shared" si="3"/>
        <v>0.75</v>
      </c>
      <c r="EJ26" s="19">
        <f t="shared" si="3"/>
        <v>56.5</v>
      </c>
      <c r="EK26" s="19">
        <f t="shared" si="3"/>
        <v>4.25</v>
      </c>
      <c r="EL26" s="308"/>
      <c r="EM26" s="19">
        <f t="shared" si="3"/>
        <v>1.25</v>
      </c>
      <c r="EN26" s="19">
        <f t="shared" si="3"/>
        <v>28</v>
      </c>
      <c r="EO26" s="19">
        <f t="shared" si="3"/>
        <v>35.5</v>
      </c>
      <c r="EP26" s="19">
        <f t="shared" si="3"/>
        <v>1</v>
      </c>
      <c r="EQ26" s="19">
        <f t="shared" si="3"/>
        <v>18</v>
      </c>
      <c r="ER26" s="42"/>
      <c r="ES26" s="19">
        <f t="shared" si="3"/>
        <v>9.75</v>
      </c>
      <c r="ET26" s="19">
        <f t="shared" si="3"/>
        <v>0.75</v>
      </c>
      <c r="EU26" s="42"/>
      <c r="EV26" s="325">
        <f t="shared" ref="EV26" si="4">SUM(B26:EU26)</f>
        <v>15268.54</v>
      </c>
      <c r="EW26" s="41">
        <f>SUM(EV2:EV25)</f>
        <v>17366.140000000003</v>
      </c>
      <c r="EY26" s="41"/>
    </row>
    <row r="27" spans="1:168" s="8" customFormat="1">
      <c r="A27" s="22" t="s">
        <v>33</v>
      </c>
      <c r="B27" s="8">
        <v>605.25</v>
      </c>
      <c r="C27" s="8">
        <v>26.25</v>
      </c>
      <c r="D27" s="8">
        <v>156</v>
      </c>
      <c r="E27" s="8">
        <v>19.75</v>
      </c>
      <c r="F27" s="8">
        <v>503.5</v>
      </c>
      <c r="G27" s="8">
        <v>9.75</v>
      </c>
      <c r="H27" s="8">
        <v>1189.5</v>
      </c>
      <c r="I27" s="8">
        <v>49.5</v>
      </c>
      <c r="J27" s="8">
        <v>81.25</v>
      </c>
      <c r="K27" s="8">
        <v>14.75</v>
      </c>
      <c r="L27" s="8">
        <v>3.5</v>
      </c>
      <c r="M27" s="8">
        <v>163.5</v>
      </c>
      <c r="N27" s="8">
        <v>9.5</v>
      </c>
      <c r="O27" s="8">
        <v>17</v>
      </c>
      <c r="P27" s="8">
        <v>143.5</v>
      </c>
      <c r="Q27" s="8">
        <v>10</v>
      </c>
      <c r="R27" s="8">
        <v>68.5</v>
      </c>
      <c r="S27" s="8">
        <v>15.25</v>
      </c>
      <c r="T27" s="312"/>
      <c r="U27" s="312"/>
      <c r="V27" s="8">
        <v>160.75</v>
      </c>
      <c r="W27" s="8">
        <v>0</v>
      </c>
      <c r="X27" s="311"/>
      <c r="Y27" s="311"/>
      <c r="Z27" s="311"/>
      <c r="AA27" s="311"/>
      <c r="AB27" s="8">
        <v>31</v>
      </c>
      <c r="AC27" s="8">
        <v>1.25</v>
      </c>
      <c r="AD27" s="8">
        <v>558</v>
      </c>
      <c r="AE27" s="8">
        <v>1054.5</v>
      </c>
      <c r="AF27" s="8">
        <v>1755.75</v>
      </c>
      <c r="AG27" s="8">
        <v>268</v>
      </c>
      <c r="AH27" s="8">
        <v>152.5</v>
      </c>
      <c r="AI27" s="8">
        <v>24.75</v>
      </c>
      <c r="AJ27" s="8">
        <v>20</v>
      </c>
      <c r="AK27" s="8">
        <v>3</v>
      </c>
      <c r="AL27" s="8">
        <v>17.25</v>
      </c>
      <c r="AM27" s="8">
        <v>42.75</v>
      </c>
      <c r="AN27" s="8">
        <v>2</v>
      </c>
      <c r="AO27" s="8">
        <v>216.38</v>
      </c>
      <c r="AP27" s="8">
        <v>756.5</v>
      </c>
      <c r="AQ27" s="8">
        <v>908.75</v>
      </c>
      <c r="AR27" s="8">
        <v>265.25</v>
      </c>
      <c r="AS27" s="8">
        <v>175</v>
      </c>
      <c r="AT27" s="8">
        <v>107</v>
      </c>
      <c r="AU27" s="8">
        <v>175.75</v>
      </c>
      <c r="AV27" s="8">
        <v>0.75</v>
      </c>
      <c r="AW27" s="8">
        <v>2.75</v>
      </c>
      <c r="AX27" s="8">
        <v>31.25</v>
      </c>
      <c r="AY27" s="8">
        <v>125.5</v>
      </c>
      <c r="AZ27" s="8">
        <v>6.75</v>
      </c>
      <c r="BA27" s="8">
        <v>269</v>
      </c>
      <c r="BB27" s="8">
        <v>40.25</v>
      </c>
      <c r="BC27" s="8">
        <v>1315</v>
      </c>
      <c r="BD27" s="8">
        <v>38</v>
      </c>
      <c r="BE27" s="8">
        <v>119.5</v>
      </c>
      <c r="BF27" s="8">
        <v>613.25</v>
      </c>
      <c r="BG27" s="8">
        <v>270.5</v>
      </c>
      <c r="BH27" s="8">
        <v>280.75</v>
      </c>
      <c r="BI27" s="8">
        <v>49.75</v>
      </c>
      <c r="BJ27" s="8">
        <v>0.75</v>
      </c>
      <c r="BK27" s="312"/>
      <c r="BL27" s="8">
        <v>329.25</v>
      </c>
      <c r="BM27" s="8">
        <v>49.5</v>
      </c>
      <c r="BN27" s="8">
        <v>0.5</v>
      </c>
      <c r="BO27" s="8">
        <v>34.75</v>
      </c>
      <c r="BP27" s="311"/>
      <c r="BQ27" s="311"/>
      <c r="BR27" s="311"/>
      <c r="BS27" s="311"/>
      <c r="BT27" s="311"/>
      <c r="BU27" s="8">
        <v>198.25</v>
      </c>
      <c r="BV27" s="311"/>
      <c r="BW27" s="311"/>
      <c r="BX27" s="8">
        <v>57.91</v>
      </c>
      <c r="BY27" s="8">
        <v>101.25</v>
      </c>
      <c r="BZ27" s="8">
        <v>1.75</v>
      </c>
      <c r="CA27" s="311"/>
      <c r="CB27" s="45"/>
      <c r="CC27" s="45"/>
      <c r="CD27" s="53">
        <v>409.75</v>
      </c>
      <c r="CE27" s="45"/>
      <c r="CF27" s="8">
        <v>1.5</v>
      </c>
      <c r="CG27" s="8">
        <v>2.75</v>
      </c>
      <c r="CH27" s="8">
        <v>4</v>
      </c>
      <c r="CI27" s="311"/>
      <c r="CJ27" s="311"/>
      <c r="CK27" s="8">
        <v>17</v>
      </c>
      <c r="CL27" s="8">
        <v>2.25</v>
      </c>
      <c r="CM27" s="8">
        <v>3.5</v>
      </c>
      <c r="CN27" s="8">
        <v>2.25</v>
      </c>
      <c r="CO27" s="8">
        <v>2.5</v>
      </c>
      <c r="CP27" s="311"/>
      <c r="CQ27" s="312"/>
      <c r="CR27" s="45"/>
      <c r="CS27" s="8">
        <v>7.25</v>
      </c>
      <c r="CT27" s="8">
        <v>3.5</v>
      </c>
      <c r="CU27" s="8">
        <v>0.5</v>
      </c>
      <c r="CV27" s="311"/>
      <c r="CW27" s="311"/>
      <c r="CX27" s="45"/>
      <c r="CY27" s="317"/>
      <c r="CZ27" s="317"/>
      <c r="DA27" s="317"/>
      <c r="DB27" s="317"/>
      <c r="DC27" s="317"/>
      <c r="DD27" s="317"/>
      <c r="DE27" s="317"/>
      <c r="DF27" s="317"/>
      <c r="DG27" s="317"/>
      <c r="DH27" s="317"/>
      <c r="DI27" s="317"/>
      <c r="DJ27" s="317"/>
      <c r="DK27" s="317"/>
      <c r="DL27" s="317"/>
      <c r="DM27" s="317"/>
      <c r="DN27" s="317"/>
      <c r="DO27" s="8">
        <v>10.75</v>
      </c>
      <c r="DP27" s="45"/>
      <c r="DQ27" s="45"/>
      <c r="DR27" s="8">
        <v>13.25</v>
      </c>
      <c r="DS27" s="8">
        <v>127.25</v>
      </c>
      <c r="DT27" s="8">
        <v>151.25</v>
      </c>
      <c r="DU27" s="8">
        <v>44.5</v>
      </c>
      <c r="DV27" s="8">
        <v>81</v>
      </c>
      <c r="DW27" s="8">
        <v>29.75</v>
      </c>
      <c r="DX27" s="8">
        <v>26.75</v>
      </c>
      <c r="DY27" s="8">
        <v>0.5</v>
      </c>
      <c r="DZ27" s="8">
        <v>19</v>
      </c>
      <c r="EA27" s="311"/>
      <c r="EB27" s="8">
        <v>4.75</v>
      </c>
      <c r="EC27" s="8">
        <v>8.75</v>
      </c>
      <c r="ED27" s="8">
        <v>6.5</v>
      </c>
      <c r="EE27" s="8">
        <v>236.75</v>
      </c>
      <c r="EF27" s="8">
        <v>148.75</v>
      </c>
      <c r="EG27" s="8">
        <v>25.75</v>
      </c>
      <c r="EH27" s="8">
        <v>1.5</v>
      </c>
      <c r="EI27" s="8">
        <v>0.75</v>
      </c>
      <c r="EJ27" s="8">
        <v>56.5</v>
      </c>
      <c r="EK27" s="8">
        <v>4.25</v>
      </c>
      <c r="EL27" s="311"/>
      <c r="EM27" s="8">
        <v>1.25</v>
      </c>
      <c r="EN27" s="8">
        <v>28</v>
      </c>
      <c r="EO27" s="8">
        <v>35.5</v>
      </c>
      <c r="EP27" s="8">
        <v>1</v>
      </c>
      <c r="EQ27" s="8">
        <v>18</v>
      </c>
      <c r="ER27" s="45"/>
      <c r="ES27" s="8">
        <v>9.75</v>
      </c>
      <c r="ET27" s="8">
        <v>0.75</v>
      </c>
      <c r="EU27" s="45"/>
      <c r="EV27" s="8">
        <v>15268.54</v>
      </c>
      <c r="EW27" s="8">
        <v>17366.140000000003</v>
      </c>
      <c r="EX27" s="9" t="s">
        <v>154</v>
      </c>
    </row>
    <row r="28" spans="1:168" s="8" customFormat="1">
      <c r="A28" s="22"/>
      <c r="T28" s="312"/>
      <c r="U28" s="312"/>
      <c r="X28" s="311"/>
      <c r="Y28" s="311"/>
      <c r="Z28" s="311"/>
      <c r="AA28" s="311"/>
      <c r="BK28" s="312"/>
      <c r="BP28" s="311"/>
      <c r="BQ28" s="311"/>
      <c r="BR28" s="311"/>
      <c r="BS28" s="311"/>
      <c r="BT28" s="311"/>
      <c r="BV28" s="311"/>
      <c r="BW28" s="311"/>
      <c r="CA28" s="311"/>
      <c r="CB28" s="45"/>
      <c r="CC28" s="45"/>
      <c r="CD28" s="53"/>
      <c r="CE28" s="45"/>
      <c r="CI28" s="311"/>
      <c r="CJ28" s="311"/>
      <c r="CP28" s="311"/>
      <c r="CQ28" s="312"/>
      <c r="CR28" s="45"/>
      <c r="CV28" s="311"/>
      <c r="CW28" s="311"/>
      <c r="CX28" s="45"/>
      <c r="CY28" s="317"/>
      <c r="CZ28" s="317"/>
      <c r="DA28" s="317"/>
      <c r="DB28" s="317"/>
      <c r="DC28" s="317"/>
      <c r="DD28" s="317"/>
      <c r="DE28" s="317"/>
      <c r="DF28" s="317"/>
      <c r="DG28" s="317"/>
      <c r="DH28" s="317"/>
      <c r="DI28" s="317"/>
      <c r="DJ28" s="317"/>
      <c r="DK28" s="317"/>
      <c r="DL28" s="317"/>
      <c r="DM28" s="317"/>
      <c r="DN28" s="317"/>
      <c r="DP28" s="45"/>
      <c r="DQ28" s="45"/>
      <c r="EA28" s="311"/>
      <c r="EL28" s="311"/>
      <c r="ER28" s="45"/>
      <c r="EU28" s="355"/>
      <c r="EX28" s="9"/>
    </row>
    <row r="29" spans="1:168" s="8" customFormat="1">
      <c r="A29" s="22"/>
      <c r="T29" s="312"/>
      <c r="U29" s="312"/>
      <c r="X29" s="311"/>
      <c r="Y29" s="311"/>
      <c r="Z29" s="311"/>
      <c r="AA29" s="311"/>
      <c r="BK29" s="312"/>
      <c r="BP29" s="311"/>
      <c r="BQ29" s="311"/>
      <c r="BR29" s="311"/>
      <c r="BS29" s="311"/>
      <c r="BT29" s="311"/>
      <c r="BV29" s="311"/>
      <c r="BW29" s="311"/>
      <c r="CA29" s="311"/>
      <c r="CB29" s="45"/>
      <c r="CC29" s="45"/>
      <c r="CD29" s="53"/>
      <c r="CE29" s="45"/>
      <c r="CI29" s="311"/>
      <c r="CJ29" s="311"/>
      <c r="CP29" s="311"/>
      <c r="CQ29" s="312"/>
      <c r="CR29" s="45"/>
      <c r="CV29" s="311"/>
      <c r="CW29" s="311"/>
      <c r="CX29" s="45"/>
      <c r="CY29" s="317"/>
      <c r="CZ29" s="317"/>
      <c r="DA29" s="317"/>
      <c r="DB29" s="317"/>
      <c r="DC29" s="317"/>
      <c r="DD29" s="317"/>
      <c r="DE29" s="317"/>
      <c r="DF29" s="317"/>
      <c r="DG29" s="317"/>
      <c r="DH29" s="317"/>
      <c r="DI29" s="317"/>
      <c r="DJ29" s="317"/>
      <c r="DK29" s="317"/>
      <c r="DL29" s="317"/>
      <c r="DM29" s="317"/>
      <c r="DN29" s="317"/>
      <c r="DP29" s="45"/>
      <c r="DQ29" s="45"/>
      <c r="EA29" s="311"/>
      <c r="EL29" s="311"/>
      <c r="ER29" s="45"/>
      <c r="EU29" s="355"/>
      <c r="EX29" s="9"/>
    </row>
    <row r="30" spans="1:168" s="319" customFormat="1" ht="18.75">
      <c r="A30" s="318" t="s">
        <v>2694</v>
      </c>
      <c r="T30" s="320"/>
      <c r="U30" s="320"/>
      <c r="X30" s="320"/>
      <c r="Y30" s="320"/>
      <c r="Z30" s="320"/>
      <c r="AA30" s="320"/>
      <c r="BK30" s="320"/>
      <c r="BP30" s="320"/>
      <c r="BQ30" s="320"/>
      <c r="BR30" s="320"/>
      <c r="BS30" s="320"/>
      <c r="BT30" s="320"/>
      <c r="BV30" s="320"/>
      <c r="BW30" s="320"/>
      <c r="CA30" s="320"/>
      <c r="CB30" s="45"/>
      <c r="CC30" s="45"/>
      <c r="CE30" s="355"/>
      <c r="CI30" s="320"/>
      <c r="CJ30" s="320"/>
      <c r="CP30" s="320"/>
      <c r="CQ30" s="320"/>
      <c r="CR30" s="355"/>
      <c r="CV30" s="320"/>
      <c r="CW30" s="320"/>
      <c r="CX30" s="355"/>
      <c r="CY30" s="321"/>
      <c r="CZ30" s="321"/>
      <c r="DA30" s="321"/>
      <c r="DB30" s="321"/>
      <c r="DC30" s="321"/>
      <c r="DD30" s="321"/>
      <c r="DE30" s="321"/>
      <c r="DF30" s="321"/>
      <c r="DG30" s="321"/>
      <c r="DH30" s="321"/>
      <c r="DI30" s="321"/>
      <c r="DJ30" s="321"/>
      <c r="DK30" s="321"/>
      <c r="DL30" s="321"/>
      <c r="DM30" s="321"/>
      <c r="DN30" s="321"/>
      <c r="DP30" s="355"/>
      <c r="DQ30" s="355"/>
      <c r="EA30" s="320"/>
      <c r="EL30" s="320"/>
      <c r="ER30" s="355"/>
      <c r="EU30" s="355"/>
    </row>
    <row r="31" spans="1:168" s="8" customFormat="1">
      <c r="A31" s="17" t="s">
        <v>2690</v>
      </c>
      <c r="T31" s="312"/>
      <c r="U31" s="312"/>
      <c r="X31" s="311"/>
      <c r="Y31" s="311"/>
      <c r="Z31" s="311"/>
      <c r="AA31" s="311"/>
      <c r="BK31" s="312"/>
      <c r="BP31" s="311"/>
      <c r="BQ31" s="311"/>
      <c r="BR31" s="311"/>
      <c r="BS31" s="311"/>
      <c r="BT31" s="311"/>
      <c r="BV31" s="311"/>
      <c r="BW31" s="311"/>
      <c r="CA31" s="311"/>
      <c r="CB31" s="45"/>
      <c r="CC31" s="45"/>
      <c r="CD31" s="306"/>
      <c r="CE31" s="355">
        <f>'Heures brutes'!CE28</f>
        <v>405.5</v>
      </c>
      <c r="CI31" s="311"/>
      <c r="CJ31" s="311"/>
      <c r="CP31" s="311"/>
      <c r="CQ31" s="312"/>
      <c r="CR31" s="355">
        <f>'Heures brutes'!CR28</f>
        <v>278.25</v>
      </c>
      <c r="CV31" s="311"/>
      <c r="CW31" s="311"/>
      <c r="CX31" s="355">
        <f>'Heures brutes'!CX28</f>
        <v>802</v>
      </c>
      <c r="CY31" s="317"/>
      <c r="CZ31" s="317"/>
      <c r="DA31" s="317"/>
      <c r="DB31" s="317"/>
      <c r="DC31" s="317"/>
      <c r="DD31" s="317"/>
      <c r="DE31" s="317"/>
      <c r="DF31" s="317"/>
      <c r="DG31" s="317"/>
      <c r="DH31" s="317"/>
      <c r="DI31" s="317"/>
      <c r="DJ31" s="317"/>
      <c r="DK31" s="317"/>
      <c r="DL31" s="317"/>
      <c r="DM31" s="317"/>
      <c r="DN31" s="317"/>
      <c r="DP31" s="355">
        <f>'Heures brutes'!DP28</f>
        <v>922.5</v>
      </c>
      <c r="DQ31" s="355">
        <f>'Heures brutes'!DQ28</f>
        <v>562</v>
      </c>
      <c r="EA31" s="311"/>
      <c r="EL31" s="311"/>
      <c r="ER31" s="355">
        <f>'Heures brutes'!ER28</f>
        <v>2332</v>
      </c>
      <c r="EU31" s="355">
        <f>'Heures brutes'!EU28</f>
        <v>300.75</v>
      </c>
      <c r="EV31" s="350">
        <f t="shared" ref="EV31:EV40" si="5">SUM(B31:EU31)</f>
        <v>5603</v>
      </c>
      <c r="EW31" s="34" t="s">
        <v>2675</v>
      </c>
    </row>
    <row r="32" spans="1:168" s="8" customFormat="1">
      <c r="A32" s="17" t="s">
        <v>2691</v>
      </c>
      <c r="T32" s="312"/>
      <c r="U32" s="312"/>
      <c r="X32" s="311"/>
      <c r="Y32" s="311"/>
      <c r="Z32" s="311"/>
      <c r="AA32" s="311"/>
      <c r="BK32" s="312"/>
      <c r="BP32" s="311"/>
      <c r="BQ32" s="311"/>
      <c r="BR32" s="311"/>
      <c r="BS32" s="311"/>
      <c r="BT32" s="311"/>
      <c r="BV32" s="311"/>
      <c r="BW32" s="311"/>
      <c r="CA32" s="311"/>
      <c r="CB32" s="355">
        <v>740.5</v>
      </c>
      <c r="CC32" s="355">
        <f>'Heures brutes'!CC28</f>
        <v>813.25</v>
      </c>
      <c r="CD32" s="306"/>
      <c r="CE32" s="306"/>
      <c r="CI32" s="311"/>
      <c r="CJ32" s="311"/>
      <c r="CP32" s="311"/>
      <c r="CQ32" s="312"/>
      <c r="CV32" s="311"/>
      <c r="CW32" s="311"/>
      <c r="CY32" s="317"/>
      <c r="CZ32" s="317"/>
      <c r="DA32" s="317"/>
      <c r="DB32" s="317"/>
      <c r="DC32" s="317"/>
      <c r="DD32" s="317"/>
      <c r="DE32" s="317"/>
      <c r="DF32" s="317"/>
      <c r="DG32" s="317"/>
      <c r="DH32" s="317"/>
      <c r="DI32" s="317"/>
      <c r="DJ32" s="317"/>
      <c r="DK32" s="317"/>
      <c r="DL32" s="317"/>
      <c r="DM32" s="317"/>
      <c r="DN32" s="317"/>
      <c r="EA32" s="311"/>
      <c r="EL32" s="311"/>
      <c r="EV32" s="350">
        <f t="shared" si="5"/>
        <v>1553.75</v>
      </c>
      <c r="EW32" s="34" t="s">
        <v>2675</v>
      </c>
    </row>
    <row r="33" spans="1:162" s="8" customFormat="1">
      <c r="A33" s="17" t="s">
        <v>2662</v>
      </c>
      <c r="T33" s="312"/>
      <c r="U33" s="312"/>
      <c r="X33" s="311"/>
      <c r="Y33" s="311"/>
      <c r="Z33" s="311"/>
      <c r="AA33" s="311"/>
      <c r="BK33" s="312"/>
      <c r="BP33" s="311"/>
      <c r="BQ33" s="311"/>
      <c r="BR33" s="311"/>
      <c r="BS33" s="311"/>
      <c r="BT33" s="311"/>
      <c r="BV33" s="311"/>
      <c r="BW33" s="311"/>
      <c r="CA33" s="311"/>
      <c r="CI33" s="311"/>
      <c r="CJ33" s="311"/>
      <c r="CP33" s="312">
        <f>SUM(CP2:CP25)</f>
        <v>0.5</v>
      </c>
      <c r="CQ33" s="310">
        <f>SUM(CQ2:CQ25)</f>
        <v>25</v>
      </c>
      <c r="CV33" s="311"/>
      <c r="CW33" s="311"/>
      <c r="CY33" s="317"/>
      <c r="CZ33" s="317"/>
      <c r="DA33" s="317"/>
      <c r="DB33" s="317"/>
      <c r="DC33" s="317"/>
      <c r="DD33" s="317"/>
      <c r="DE33" s="317"/>
      <c r="DF33" s="317"/>
      <c r="DG33" s="317"/>
      <c r="DH33" s="317"/>
      <c r="DI33" s="317"/>
      <c r="DJ33" s="317"/>
      <c r="DK33" s="317"/>
      <c r="DL33" s="317"/>
      <c r="DM33" s="317"/>
      <c r="DN33" s="317"/>
      <c r="EA33" s="311"/>
      <c r="EL33" s="311"/>
      <c r="EV33" s="349">
        <f t="shared" si="5"/>
        <v>25.5</v>
      </c>
      <c r="EW33" s="34" t="s">
        <v>2675</v>
      </c>
    </row>
    <row r="34" spans="1:162" s="8" customFormat="1">
      <c r="A34" s="17" t="s">
        <v>2663</v>
      </c>
      <c r="T34" s="312"/>
      <c r="U34" s="312"/>
      <c r="X34" s="311"/>
      <c r="Y34" s="311"/>
      <c r="Z34" s="311"/>
      <c r="AA34" s="311"/>
      <c r="BK34" s="310">
        <f>SUM(BK2:BK25)</f>
        <v>229.25</v>
      </c>
      <c r="BP34" s="311"/>
      <c r="BQ34" s="311"/>
      <c r="BR34" s="311"/>
      <c r="BS34" s="311"/>
      <c r="BT34" s="311"/>
      <c r="BV34" s="311"/>
      <c r="BW34" s="311"/>
      <c r="CA34" s="311"/>
      <c r="CI34" s="311"/>
      <c r="CJ34" s="311"/>
      <c r="CP34" s="295"/>
      <c r="CQ34" s="306"/>
      <c r="CV34" s="311"/>
      <c r="CW34" s="311"/>
      <c r="CY34" s="317"/>
      <c r="CZ34" s="317"/>
      <c r="DA34" s="317"/>
      <c r="DB34" s="317"/>
      <c r="DC34" s="317"/>
      <c r="DD34" s="317"/>
      <c r="DE34" s="317"/>
      <c r="DF34" s="317"/>
      <c r="DG34" s="317"/>
      <c r="DH34" s="317"/>
      <c r="DI34" s="317"/>
      <c r="DJ34" s="317"/>
      <c r="DK34" s="317"/>
      <c r="DL34" s="317"/>
      <c r="DM34" s="317"/>
      <c r="DN34" s="317"/>
      <c r="EA34" s="311"/>
      <c r="EL34" s="311"/>
      <c r="EV34" s="349">
        <f t="shared" si="5"/>
        <v>229.25</v>
      </c>
      <c r="EW34" s="34" t="s">
        <v>2675</v>
      </c>
    </row>
    <row r="35" spans="1:162" s="8" customFormat="1">
      <c r="A35" s="17" t="s">
        <v>2668</v>
      </c>
      <c r="T35" s="312"/>
      <c r="U35" s="312"/>
      <c r="X35" s="311"/>
      <c r="Y35" s="311"/>
      <c r="Z35" s="311"/>
      <c r="AA35" s="311"/>
      <c r="BK35" s="313"/>
      <c r="BP35" s="311"/>
      <c r="BQ35" s="312">
        <f>SUM(BQ2:BQ25)</f>
        <v>113.38</v>
      </c>
      <c r="BR35" s="312">
        <f>SUM(BR2:BR25)</f>
        <v>6.5</v>
      </c>
      <c r="BS35" s="312">
        <f>SUM(BS2:BS25)</f>
        <v>9.25</v>
      </c>
      <c r="BT35" s="311"/>
      <c r="BV35" s="311"/>
      <c r="BW35" s="311"/>
      <c r="CA35" s="311"/>
      <c r="CI35" s="311"/>
      <c r="CJ35" s="311"/>
      <c r="CP35" s="295"/>
      <c r="CQ35" s="306"/>
      <c r="CV35" s="310">
        <f>SUM(CV2:CV25)</f>
        <v>5</v>
      </c>
      <c r="CW35" s="311"/>
      <c r="CY35" s="317"/>
      <c r="CZ35" s="317"/>
      <c r="DA35" s="317"/>
      <c r="DB35" s="317"/>
      <c r="DC35" s="317"/>
      <c r="DD35" s="317"/>
      <c r="DE35" s="317"/>
      <c r="DF35" s="317"/>
      <c r="DG35" s="317"/>
      <c r="DH35" s="317"/>
      <c r="DI35" s="317"/>
      <c r="DJ35" s="317"/>
      <c r="DK35" s="317"/>
      <c r="DL35" s="317"/>
      <c r="DM35" s="317"/>
      <c r="DN35" s="317"/>
      <c r="EA35" s="311"/>
      <c r="EL35" s="311"/>
      <c r="EV35" s="349">
        <f t="shared" si="5"/>
        <v>134.13</v>
      </c>
      <c r="EW35" s="34" t="s">
        <v>2675</v>
      </c>
    </row>
    <row r="36" spans="1:162" s="8" customFormat="1">
      <c r="A36" s="17" t="s">
        <v>2664</v>
      </c>
      <c r="T36" s="312"/>
      <c r="U36" s="312"/>
      <c r="X36" s="311"/>
      <c r="Y36" s="311"/>
      <c r="Z36" s="311"/>
      <c r="AA36" s="311"/>
      <c r="BK36" s="313"/>
      <c r="BP36" s="311"/>
      <c r="BQ36" s="295"/>
      <c r="BR36" s="295"/>
      <c r="BS36" s="295"/>
      <c r="BT36" s="311"/>
      <c r="BV36" s="310">
        <f>SUM(BV2:BV25)</f>
        <v>43</v>
      </c>
      <c r="BW36" s="310">
        <f>SUM(BW2:BW25)</f>
        <v>41</v>
      </c>
      <c r="CA36" s="311"/>
      <c r="CI36" s="311"/>
      <c r="CJ36" s="311"/>
      <c r="CP36" s="295"/>
      <c r="CQ36" s="306"/>
      <c r="CW36" s="311"/>
      <c r="CY36" s="317"/>
      <c r="CZ36" s="317"/>
      <c r="DA36" s="317"/>
      <c r="DB36" s="317"/>
      <c r="DC36" s="317"/>
      <c r="DD36" s="317"/>
      <c r="DE36" s="317"/>
      <c r="DF36" s="317"/>
      <c r="DG36" s="317"/>
      <c r="DH36" s="317"/>
      <c r="DI36" s="317"/>
      <c r="DJ36" s="317"/>
      <c r="DK36" s="317"/>
      <c r="DL36" s="317"/>
      <c r="DM36" s="317"/>
      <c r="DN36" s="317"/>
      <c r="EA36" s="311"/>
      <c r="EL36" s="311"/>
      <c r="EV36" s="349">
        <f t="shared" si="5"/>
        <v>84</v>
      </c>
      <c r="EW36" s="34" t="s">
        <v>2675</v>
      </c>
    </row>
    <row r="37" spans="1:162" s="8" customFormat="1">
      <c r="A37" s="17" t="s">
        <v>2665</v>
      </c>
      <c r="T37" s="312"/>
      <c r="U37" s="312"/>
      <c r="X37" s="311"/>
      <c r="Y37" s="311"/>
      <c r="Z37" s="311"/>
      <c r="AA37" s="311"/>
      <c r="BK37" s="313"/>
      <c r="BP37" s="311"/>
      <c r="BQ37" s="295"/>
      <c r="BR37" s="295"/>
      <c r="BS37" s="295"/>
      <c r="BT37" s="311"/>
      <c r="CA37" s="310">
        <f>SUM(CA2:CA25)</f>
        <v>382.25</v>
      </c>
      <c r="CI37" s="311"/>
      <c r="CJ37" s="311"/>
      <c r="CP37" s="295"/>
      <c r="CQ37" s="306"/>
      <c r="CW37" s="311"/>
      <c r="CY37" s="317"/>
      <c r="CZ37" s="317"/>
      <c r="DA37" s="317"/>
      <c r="DB37" s="317"/>
      <c r="DC37" s="317"/>
      <c r="DD37" s="317"/>
      <c r="DE37" s="317"/>
      <c r="DF37" s="317"/>
      <c r="DG37" s="317"/>
      <c r="DH37" s="317"/>
      <c r="DI37" s="317"/>
      <c r="DJ37" s="317"/>
      <c r="DK37" s="317"/>
      <c r="DL37" s="317"/>
      <c r="DM37" s="317"/>
      <c r="DN37" s="317"/>
      <c r="EA37" s="311"/>
      <c r="EL37" s="311"/>
      <c r="EV37" s="349">
        <f t="shared" si="5"/>
        <v>382.25</v>
      </c>
      <c r="EW37" s="34" t="s">
        <v>2675</v>
      </c>
    </row>
    <row r="38" spans="1:162" s="8" customFormat="1">
      <c r="A38" s="17" t="s">
        <v>2666</v>
      </c>
      <c r="T38" s="312"/>
      <c r="U38" s="312"/>
      <c r="X38" s="311"/>
      <c r="Y38" s="311"/>
      <c r="Z38" s="311"/>
      <c r="AA38" s="311"/>
      <c r="BK38" s="313"/>
      <c r="BP38" s="311"/>
      <c r="BQ38" s="295"/>
      <c r="BR38" s="295"/>
      <c r="BS38" s="295"/>
      <c r="BT38" s="311"/>
      <c r="CI38" s="312">
        <f>SUM(CI2:CI25)</f>
        <v>2.5</v>
      </c>
      <c r="CJ38" s="312">
        <f>SUM(CJ2:CJ25)</f>
        <v>31.25</v>
      </c>
      <c r="CP38" s="313"/>
      <c r="CQ38" s="306"/>
      <c r="CW38" s="311"/>
      <c r="CY38" s="317"/>
      <c r="CZ38" s="317"/>
      <c r="DA38" s="317"/>
      <c r="DB38" s="317"/>
      <c r="DC38" s="317"/>
      <c r="DD38" s="317"/>
      <c r="DE38" s="317"/>
      <c r="DF38" s="317"/>
      <c r="DG38" s="317"/>
      <c r="DH38" s="317"/>
      <c r="DI38" s="317"/>
      <c r="DJ38" s="317"/>
      <c r="DK38" s="317"/>
      <c r="DL38" s="317"/>
      <c r="DM38" s="317"/>
      <c r="DN38" s="317"/>
      <c r="EA38" s="311"/>
      <c r="EL38" s="311"/>
      <c r="EV38" s="349">
        <f t="shared" si="5"/>
        <v>33.75</v>
      </c>
      <c r="EW38" s="34" t="s">
        <v>2675</v>
      </c>
    </row>
    <row r="39" spans="1:162" s="8" customFormat="1">
      <c r="A39" s="17" t="s">
        <v>2671</v>
      </c>
      <c r="T39" s="312"/>
      <c r="U39" s="312"/>
      <c r="X39" s="311"/>
      <c r="Y39" s="311"/>
      <c r="Z39" s="311"/>
      <c r="AA39" s="311"/>
      <c r="BK39" s="313"/>
      <c r="BP39" s="311"/>
      <c r="BQ39" s="295"/>
      <c r="BR39" s="295"/>
      <c r="BS39" s="295"/>
      <c r="BT39" s="310">
        <f>SUM(BT2:BT25)</f>
        <v>243.51999999999998</v>
      </c>
      <c r="CQ39" s="306"/>
      <c r="CW39" s="311"/>
      <c r="CY39" s="317"/>
      <c r="CZ39" s="317"/>
      <c r="DA39" s="317"/>
      <c r="DB39" s="317"/>
      <c r="DC39" s="317"/>
      <c r="DD39" s="317"/>
      <c r="DE39" s="317"/>
      <c r="DF39" s="317"/>
      <c r="DG39" s="317"/>
      <c r="DH39" s="317"/>
      <c r="DI39" s="317"/>
      <c r="DJ39" s="317"/>
      <c r="DK39" s="317"/>
      <c r="DL39" s="317"/>
      <c r="DM39" s="317"/>
      <c r="DN39" s="317"/>
      <c r="EA39" s="311"/>
      <c r="EL39" s="311"/>
      <c r="EV39" s="349">
        <f t="shared" si="5"/>
        <v>243.51999999999998</v>
      </c>
      <c r="EW39" s="34" t="s">
        <v>2675</v>
      </c>
    </row>
    <row r="40" spans="1:162" s="8" customFormat="1">
      <c r="A40" s="17" t="s">
        <v>2672</v>
      </c>
      <c r="T40" s="312"/>
      <c r="U40" s="312"/>
      <c r="X40" s="311"/>
      <c r="Y40" s="311"/>
      <c r="Z40" s="311"/>
      <c r="AA40" s="311"/>
      <c r="BK40" s="313"/>
      <c r="BP40" s="310">
        <f>SUM(BP2:BP25)</f>
        <v>210.5</v>
      </c>
      <c r="BQ40" s="295"/>
      <c r="BR40" s="295"/>
      <c r="BS40" s="295"/>
      <c r="CQ40" s="306"/>
      <c r="CW40" s="311"/>
      <c r="CY40" s="317"/>
      <c r="CZ40" s="317"/>
      <c r="DA40" s="317"/>
      <c r="DB40" s="317"/>
      <c r="DC40" s="317"/>
      <c r="DD40" s="317"/>
      <c r="DE40" s="317"/>
      <c r="DF40" s="317"/>
      <c r="DG40" s="317"/>
      <c r="DH40" s="317"/>
      <c r="DI40" s="317"/>
      <c r="DJ40" s="317"/>
      <c r="DK40" s="317"/>
      <c r="DL40" s="317"/>
      <c r="DM40" s="317"/>
      <c r="DN40" s="317"/>
      <c r="EA40" s="311"/>
      <c r="EL40" s="311"/>
      <c r="EV40" s="349">
        <f t="shared" si="5"/>
        <v>210.5</v>
      </c>
      <c r="EW40" s="34" t="s">
        <v>2675</v>
      </c>
    </row>
    <row r="41" spans="1:162" s="8" customFormat="1">
      <c r="A41" s="17"/>
      <c r="T41" s="312"/>
      <c r="U41" s="312"/>
      <c r="X41" s="311"/>
      <c r="Y41" s="311"/>
      <c r="Z41" s="311"/>
      <c r="AA41" s="311"/>
      <c r="BK41" s="313"/>
      <c r="BP41" s="310"/>
      <c r="BQ41" s="295"/>
      <c r="BR41" s="295"/>
      <c r="BS41" s="295"/>
      <c r="CQ41" s="306"/>
      <c r="CW41" s="311"/>
      <c r="CY41" s="317"/>
      <c r="CZ41" s="317"/>
      <c r="DA41" s="317"/>
      <c r="DB41" s="317"/>
      <c r="DC41" s="317"/>
      <c r="DD41" s="317"/>
      <c r="DE41" s="317"/>
      <c r="DF41" s="317"/>
      <c r="DG41" s="317"/>
      <c r="DH41" s="317"/>
      <c r="DI41" s="317"/>
      <c r="DJ41" s="317"/>
      <c r="DK41" s="317"/>
      <c r="DL41" s="317"/>
      <c r="DM41" s="317"/>
      <c r="DN41" s="317"/>
      <c r="EA41" s="311"/>
      <c r="EL41" s="311"/>
      <c r="EV41" s="325">
        <f>SUM(EV31:EV40)</f>
        <v>8499.65</v>
      </c>
      <c r="EW41" s="34"/>
    </row>
    <row r="42" spans="1:162" s="338" customFormat="1">
      <c r="A42" s="337"/>
      <c r="T42" s="339"/>
      <c r="U42" s="339"/>
      <c r="X42" s="340"/>
      <c r="Y42" s="340"/>
      <c r="Z42" s="340"/>
      <c r="AA42" s="340"/>
      <c r="BK42" s="339"/>
      <c r="BP42" s="340"/>
      <c r="BQ42" s="340"/>
      <c r="BR42" s="340"/>
      <c r="BS42" s="340"/>
      <c r="BT42" s="340"/>
      <c r="BV42" s="340"/>
      <c r="BW42" s="340"/>
      <c r="CA42" s="340"/>
      <c r="CB42" s="342"/>
      <c r="CC42" s="342"/>
      <c r="CD42" s="354"/>
      <c r="CE42" s="342"/>
      <c r="CI42" s="340"/>
      <c r="CJ42" s="340"/>
      <c r="CP42" s="340"/>
      <c r="CQ42" s="339"/>
      <c r="CR42" s="342"/>
      <c r="CV42" s="340"/>
      <c r="CW42" s="340"/>
      <c r="CX42" s="342"/>
      <c r="CY42" s="341"/>
      <c r="CZ42" s="341"/>
      <c r="DA42" s="341"/>
      <c r="DB42" s="341"/>
      <c r="DC42" s="341"/>
      <c r="DD42" s="341"/>
      <c r="DE42" s="341"/>
      <c r="DF42" s="341"/>
      <c r="DG42" s="341"/>
      <c r="DH42" s="341"/>
      <c r="DI42" s="341"/>
      <c r="DJ42" s="341"/>
      <c r="DK42" s="341"/>
      <c r="DL42" s="341"/>
      <c r="DM42" s="341"/>
      <c r="DN42" s="341"/>
      <c r="DP42" s="342"/>
      <c r="DQ42" s="342"/>
      <c r="EA42" s="340"/>
      <c r="EL42" s="340"/>
      <c r="ER42" s="342"/>
      <c r="EU42" s="342"/>
      <c r="EX42" s="343"/>
    </row>
    <row r="43" spans="1:162" s="334" customFormat="1" ht="18.75">
      <c r="A43" s="333" t="s">
        <v>2692</v>
      </c>
      <c r="T43" s="335"/>
      <c r="U43" s="335"/>
      <c r="X43" s="335"/>
      <c r="Y43" s="335"/>
      <c r="Z43" s="335"/>
      <c r="AA43" s="335"/>
      <c r="BK43" s="335"/>
      <c r="BP43" s="335"/>
      <c r="BQ43" s="335"/>
      <c r="BR43" s="335"/>
      <c r="BS43" s="335"/>
      <c r="BT43" s="335"/>
      <c r="BV43" s="335"/>
      <c r="BW43" s="335"/>
      <c r="CA43" s="335"/>
      <c r="CI43" s="335"/>
      <c r="CJ43" s="335"/>
      <c r="CP43" s="335"/>
      <c r="CQ43" s="335"/>
      <c r="CV43" s="335"/>
      <c r="CW43" s="335"/>
      <c r="CY43" s="336"/>
      <c r="CZ43" s="336"/>
      <c r="DA43" s="336"/>
      <c r="DB43" s="336"/>
      <c r="DC43" s="336"/>
      <c r="DD43" s="336"/>
      <c r="DE43" s="336"/>
      <c r="DF43" s="336"/>
      <c r="DG43" s="336"/>
      <c r="DH43" s="336"/>
      <c r="DI43" s="336"/>
      <c r="DJ43" s="336"/>
      <c r="DK43" s="336"/>
      <c r="DL43" s="336"/>
      <c r="DM43" s="336"/>
      <c r="DN43" s="336"/>
      <c r="EA43" s="335"/>
      <c r="EL43" s="335"/>
      <c r="FB43" s="332" t="s">
        <v>2682</v>
      </c>
      <c r="FC43" s="332"/>
      <c r="FD43" s="332"/>
      <c r="FE43" s="332"/>
      <c r="FF43" s="332">
        <f>EV44</f>
        <v>120.75</v>
      </c>
    </row>
    <row r="44" spans="1:162" s="8" customFormat="1">
      <c r="A44" s="17" t="s">
        <v>2667</v>
      </c>
      <c r="T44" s="312"/>
      <c r="U44" s="312"/>
      <c r="X44" s="311"/>
      <c r="Y44" s="311"/>
      <c r="Z44" s="311"/>
      <c r="AA44" s="311"/>
      <c r="BK44" s="313"/>
      <c r="BP44" s="295"/>
      <c r="BQ44" s="295"/>
      <c r="BR44" s="295"/>
      <c r="BS44" s="295"/>
      <c r="BT44" s="295"/>
      <c r="BV44" s="295"/>
      <c r="BW44" s="295"/>
      <c r="BX44" s="295"/>
      <c r="BY44" s="295"/>
      <c r="BZ44" s="295"/>
      <c r="CA44" s="295"/>
      <c r="CB44" s="295"/>
      <c r="CC44" s="295"/>
      <c r="CD44" s="295"/>
      <c r="CE44" s="295"/>
      <c r="CF44" s="295"/>
      <c r="CG44" s="295"/>
      <c r="CH44" s="295"/>
      <c r="CI44" s="295"/>
      <c r="CJ44" s="295"/>
      <c r="CQ44" s="306"/>
      <c r="CW44" s="311"/>
      <c r="CY44" s="316">
        <f t="shared" ref="CY44:DN44" si="6">SUM(CY2:CY25)</f>
        <v>4.25</v>
      </c>
      <c r="CZ44" s="316">
        <f t="shared" si="6"/>
        <v>2.25</v>
      </c>
      <c r="DA44" s="316">
        <f t="shared" si="6"/>
        <v>2.75</v>
      </c>
      <c r="DB44" s="316">
        <f t="shared" si="6"/>
        <v>0</v>
      </c>
      <c r="DC44" s="316">
        <f t="shared" si="6"/>
        <v>28.5</v>
      </c>
      <c r="DD44" s="316">
        <f t="shared" si="6"/>
        <v>2</v>
      </c>
      <c r="DE44" s="316">
        <f t="shared" si="6"/>
        <v>2.5</v>
      </c>
      <c r="DF44" s="316">
        <f t="shared" si="6"/>
        <v>0</v>
      </c>
      <c r="DG44" s="316">
        <f t="shared" si="6"/>
        <v>15.5</v>
      </c>
      <c r="DH44" s="316">
        <f t="shared" si="6"/>
        <v>1.5</v>
      </c>
      <c r="DI44" s="316">
        <f t="shared" si="6"/>
        <v>21</v>
      </c>
      <c r="DJ44" s="316">
        <f t="shared" si="6"/>
        <v>8.5</v>
      </c>
      <c r="DK44" s="316">
        <f t="shared" si="6"/>
        <v>3.5</v>
      </c>
      <c r="DL44" s="316">
        <f t="shared" si="6"/>
        <v>2.5</v>
      </c>
      <c r="DM44" s="316">
        <f t="shared" si="6"/>
        <v>11.25</v>
      </c>
      <c r="DN44" s="316">
        <f t="shared" si="6"/>
        <v>14.75</v>
      </c>
      <c r="EA44" s="311"/>
      <c r="EL44" s="311"/>
      <c r="EV44" s="349">
        <f>SUM(B44:EU44)</f>
        <v>120.75</v>
      </c>
      <c r="EW44" s="34" t="s">
        <v>2677</v>
      </c>
      <c r="FB44" s="332"/>
      <c r="FC44" s="332"/>
      <c r="FD44" s="332"/>
      <c r="FE44" s="332"/>
      <c r="FF44" s="332"/>
    </row>
    <row r="45" spans="1:162" s="8" customFormat="1">
      <c r="A45" s="17" t="s">
        <v>2669</v>
      </c>
      <c r="T45" s="312"/>
      <c r="U45" s="312"/>
      <c r="X45" s="310">
        <f>SUM(X2:X25)</f>
        <v>133.75</v>
      </c>
      <c r="Y45" s="310">
        <f>SUM(Y2:Y25)</f>
        <v>126.25</v>
      </c>
      <c r="Z45" s="310">
        <f>SUM(Z2:Z25)</f>
        <v>320.45</v>
      </c>
      <c r="AA45" s="310">
        <f>SUM(AA2:AA25)</f>
        <v>24.5</v>
      </c>
      <c r="BK45" s="313"/>
      <c r="BP45" s="295"/>
      <c r="BQ45" s="295"/>
      <c r="BR45" s="295"/>
      <c r="BS45" s="295"/>
      <c r="BT45" s="295"/>
      <c r="BV45" s="295"/>
      <c r="BW45" s="295"/>
      <c r="BX45" s="295"/>
      <c r="BY45" s="295"/>
      <c r="BZ45" s="295"/>
      <c r="CA45" s="295"/>
      <c r="CB45" s="295"/>
      <c r="CC45" s="295"/>
      <c r="CD45" s="295"/>
      <c r="CE45" s="295"/>
      <c r="CF45" s="295"/>
      <c r="CG45" s="295"/>
      <c r="CH45" s="295"/>
      <c r="CI45" s="295"/>
      <c r="CJ45" s="295"/>
      <c r="CQ45" s="306"/>
      <c r="CW45" s="310">
        <f>SUM(CW2:CW25)</f>
        <v>5.75</v>
      </c>
      <c r="CY45" s="317"/>
      <c r="CZ45" s="317"/>
      <c r="DA45" s="317"/>
      <c r="DB45" s="317"/>
      <c r="DC45" s="317"/>
      <c r="DD45" s="317"/>
      <c r="DE45" s="317"/>
      <c r="DF45" s="317"/>
      <c r="DG45" s="317"/>
      <c r="DH45" s="317"/>
      <c r="DI45" s="317"/>
      <c r="DJ45" s="317"/>
      <c r="DK45" s="317"/>
      <c r="DL45" s="317"/>
      <c r="DM45" s="317"/>
      <c r="DN45" s="317"/>
      <c r="EA45" s="311"/>
      <c r="EL45" s="310">
        <f>SUM(EL2:EL25)</f>
        <v>9.5</v>
      </c>
      <c r="EV45" s="349">
        <f>SUM(B45:EU45)</f>
        <v>620.20000000000005</v>
      </c>
      <c r="EW45" s="34" t="s">
        <v>2676</v>
      </c>
      <c r="FB45" s="316" t="s">
        <v>2681</v>
      </c>
      <c r="FC45" s="316"/>
      <c r="FD45" s="316"/>
      <c r="FE45" s="316"/>
      <c r="FF45" s="316">
        <f>SUM(CY20:DN22)</f>
        <v>61.5</v>
      </c>
    </row>
    <row r="46" spans="1:162" s="8" customFormat="1">
      <c r="A46" s="17" t="s">
        <v>2670</v>
      </c>
      <c r="T46" s="312">
        <f>SUM(T2:T22)</f>
        <v>0.5</v>
      </c>
      <c r="U46" s="312">
        <f>SUM(U2:U22)</f>
        <v>2.5</v>
      </c>
      <c r="X46" s="311"/>
      <c r="Y46" s="311"/>
      <c r="Z46" s="311"/>
      <c r="AA46" s="311"/>
      <c r="BK46" s="313"/>
      <c r="BP46" s="295"/>
      <c r="BQ46" s="295"/>
      <c r="BR46" s="295"/>
      <c r="BS46" s="295"/>
      <c r="BT46" s="295"/>
      <c r="BV46" s="295"/>
      <c r="BW46" s="295"/>
      <c r="BX46" s="295"/>
      <c r="BY46" s="295"/>
      <c r="BZ46" s="295"/>
      <c r="CA46" s="295"/>
      <c r="CB46" s="295"/>
      <c r="CC46" s="295"/>
      <c r="CD46" s="295"/>
      <c r="CE46" s="295"/>
      <c r="CF46" s="295"/>
      <c r="CG46" s="295"/>
      <c r="CH46" s="295"/>
      <c r="CI46" s="295"/>
      <c r="CJ46" s="295"/>
      <c r="CP46" s="295"/>
      <c r="CQ46" s="313"/>
      <c r="CR46" s="295"/>
      <c r="CS46" s="295"/>
      <c r="CT46" s="295"/>
      <c r="CU46" s="295"/>
      <c r="CV46" s="295"/>
      <c r="CW46" s="311"/>
      <c r="CY46" s="317"/>
      <c r="CZ46" s="317"/>
      <c r="DA46" s="317"/>
      <c r="DB46" s="317"/>
      <c r="DC46" s="317"/>
      <c r="DD46" s="317"/>
      <c r="DE46" s="317"/>
      <c r="DF46" s="317"/>
      <c r="DG46" s="317"/>
      <c r="DH46" s="317"/>
      <c r="DI46" s="317"/>
      <c r="DJ46" s="317"/>
      <c r="DK46" s="317"/>
      <c r="DL46" s="317"/>
      <c r="DM46" s="317"/>
      <c r="DN46" s="317"/>
      <c r="EA46" s="311"/>
      <c r="EL46" s="311"/>
      <c r="EV46" s="349">
        <f>SUM(B46:EU46)</f>
        <v>3</v>
      </c>
      <c r="EW46" s="34" t="s">
        <v>2676</v>
      </c>
      <c r="FB46" s="316" t="s">
        <v>2683</v>
      </c>
      <c r="FC46" s="316"/>
      <c r="FD46" s="316"/>
      <c r="FE46" s="316"/>
      <c r="FF46" s="316">
        <f>FF43-FF45</f>
        <v>59.25</v>
      </c>
    </row>
    <row r="47" spans="1:162">
      <c r="A47" s="1" t="s">
        <v>2673</v>
      </c>
      <c r="EA47" s="308">
        <f>SUM(EA2:EA25)</f>
        <v>10.75</v>
      </c>
      <c r="EV47" s="349">
        <f t="shared" ref="EV47" si="7">SUM(B47:EU47)</f>
        <v>10.75</v>
      </c>
      <c r="EW47" s="34" t="s">
        <v>2676</v>
      </c>
      <c r="FB47" s="8"/>
      <c r="FC47" s="8"/>
      <c r="FD47" s="8"/>
      <c r="FE47" s="8"/>
      <c r="FF47" s="8">
        <f>SUM(FF45:FF46)</f>
        <v>120.75</v>
      </c>
    </row>
    <row r="48" spans="1:162" s="19" customFormat="1">
      <c r="T48" s="307"/>
      <c r="U48" s="307"/>
      <c r="BK48" s="307"/>
      <c r="CQ48" s="307"/>
      <c r="EV48" s="325">
        <f>SUM(EV44:EV47)</f>
        <v>754.7</v>
      </c>
    </row>
    <row r="49" spans="1:158" s="323" customFormat="1">
      <c r="A49" s="322"/>
      <c r="T49" s="324"/>
      <c r="U49" s="324"/>
      <c r="BK49" s="324"/>
      <c r="CQ49" s="324"/>
      <c r="EA49" s="328"/>
      <c r="EW49" s="327" t="s">
        <v>2674</v>
      </c>
      <c r="EX49" s="327" t="s">
        <v>2693</v>
      </c>
    </row>
    <row r="50" spans="1:158">
      <c r="EA50" s="13"/>
      <c r="EW50" s="8" t="s">
        <v>2678</v>
      </c>
      <c r="FA50" s="8">
        <f>SUM(EV26,EV44,EV45,EV46,EV47)</f>
        <v>16023.240000000002</v>
      </c>
    </row>
    <row r="51" spans="1:158">
      <c r="EA51" s="13"/>
      <c r="EW51" s="8" t="s">
        <v>2689</v>
      </c>
      <c r="FA51" s="8">
        <f>SUM(EV33:EV40)</f>
        <v>1342.9</v>
      </c>
    </row>
    <row r="52" spans="1:158">
      <c r="EA52" s="13"/>
      <c r="FA52" s="8">
        <f>SUM(FA50:FA51)</f>
        <v>17366.140000000003</v>
      </c>
    </row>
    <row r="53" spans="1:158">
      <c r="EA53" s="13"/>
    </row>
    <row r="54" spans="1:158" ht="18.75">
      <c r="A54" s="7" t="s">
        <v>144</v>
      </c>
      <c r="EZ54" s="319" t="s">
        <v>2695</v>
      </c>
      <c r="FA54" s="319"/>
      <c r="FB54" s="319"/>
    </row>
    <row r="55" spans="1:158" s="79" customFormat="1">
      <c r="A55" s="79" t="s">
        <v>26</v>
      </c>
      <c r="T55" s="18"/>
      <c r="U55" s="18"/>
      <c r="BK55" s="18"/>
      <c r="CQ55" s="18"/>
      <c r="DB55" s="79">
        <v>0.75</v>
      </c>
      <c r="DF55" s="79">
        <v>3.75</v>
      </c>
      <c r="EV55" s="79">
        <f>SUM(B55:EU55)</f>
        <v>4.5</v>
      </c>
      <c r="EZ55" s="8"/>
      <c r="FA55" s="8"/>
      <c r="FB55" s="8"/>
    </row>
    <row r="56" spans="1:158" s="79" customFormat="1">
      <c r="A56" s="79" t="s">
        <v>30</v>
      </c>
      <c r="T56" s="18"/>
      <c r="U56" s="18"/>
      <c r="BE56" s="79">
        <v>28.5</v>
      </c>
      <c r="BK56" s="18"/>
      <c r="CQ56" s="18"/>
      <c r="DM56" s="79">
        <v>14.25</v>
      </c>
      <c r="EV56" s="79">
        <f>SUM(B56:EU56)</f>
        <v>42.75</v>
      </c>
      <c r="FA56" s="8"/>
      <c r="FB56" s="8"/>
    </row>
    <row r="57" spans="1:158">
      <c r="EV57" s="19">
        <f>SUM(EV55:EV56)</f>
        <v>47.25</v>
      </c>
      <c r="EZ57" s="8" t="s">
        <v>2675</v>
      </c>
      <c r="FA57" s="8"/>
      <c r="FB57" s="8"/>
    </row>
    <row r="58" spans="1:158">
      <c r="FA58" s="8"/>
      <c r="FB58" s="53"/>
    </row>
    <row r="59" spans="1:158">
      <c r="EZ59" s="8"/>
      <c r="FA59" s="8"/>
      <c r="FB59" s="8"/>
    </row>
    <row r="61" spans="1:158">
      <c r="FB61">
        <f>SUM(FA62:FA63)</f>
        <v>21626.240000000002</v>
      </c>
    </row>
    <row r="62" spans="1:158">
      <c r="EW62" t="s">
        <v>172</v>
      </c>
      <c r="FA62">
        <f>'Heures brutes'!FB16</f>
        <v>5603</v>
      </c>
    </row>
    <row r="63" spans="1:158" s="345" customFormat="1" ht="18">
      <c r="A63" s="344"/>
      <c r="T63" s="346"/>
      <c r="U63" s="346"/>
      <c r="BK63" s="346"/>
      <c r="CQ63" s="346"/>
      <c r="ES63" s="353" t="s">
        <v>2701</v>
      </c>
      <c r="ET63" s="351"/>
      <c r="EU63" s="351"/>
      <c r="EV63" s="345" t="s">
        <v>2703</v>
      </c>
      <c r="EW63" s="34" t="s">
        <v>2679</v>
      </c>
      <c r="EX63" s="34"/>
      <c r="EY63" s="34"/>
      <c r="EZ63" s="34"/>
      <c r="FA63" s="34">
        <f>FA50</f>
        <v>16023.240000000002</v>
      </c>
    </row>
    <row r="64" spans="1:158" ht="15.75">
      <c r="ES64" s="352" t="s">
        <v>2697</v>
      </c>
      <c r="ET64" s="352"/>
      <c r="EU64" s="352">
        <f>FA64</f>
        <v>15268.54</v>
      </c>
      <c r="EV64" s="356" t="s">
        <v>2704</v>
      </c>
      <c r="EW64" s="36" t="s">
        <v>2699</v>
      </c>
      <c r="EX64" s="36"/>
      <c r="EY64" s="36"/>
      <c r="EZ64" s="36"/>
      <c r="FA64" s="36">
        <f>EV26</f>
        <v>15268.54</v>
      </c>
    </row>
    <row r="65" spans="1:160" ht="15.75">
      <c r="A65" s="10" t="s">
        <v>145</v>
      </c>
      <c r="B65" s="11">
        <v>0</v>
      </c>
      <c r="C65" t="s">
        <v>146</v>
      </c>
      <c r="ES65" s="352"/>
      <c r="ET65" s="352"/>
      <c r="EU65" s="352"/>
      <c r="EV65" s="356"/>
      <c r="EW65" s="299" t="s">
        <v>2680</v>
      </c>
      <c r="FA65">
        <f>'Heures brutes'!EV27</f>
        <v>24522.89</v>
      </c>
      <c r="FB65" s="31" t="s">
        <v>2686</v>
      </c>
      <c r="FC65" s="34"/>
      <c r="FD65" s="300">
        <f>'Heures brutes'!FE13</f>
        <v>11.784080358943337</v>
      </c>
    </row>
    <row r="66" spans="1:160" ht="16.5" thickBot="1">
      <c r="ES66" s="352" t="s">
        <v>2696</v>
      </c>
      <c r="ET66" s="352"/>
      <c r="EU66" s="352">
        <f>FA66</f>
        <v>24402.14</v>
      </c>
      <c r="EV66" s="356" t="s">
        <v>2705</v>
      </c>
      <c r="EW66" s="80" t="s">
        <v>2700</v>
      </c>
      <c r="EX66" s="36"/>
      <c r="EY66" s="36"/>
      <c r="EZ66" s="36"/>
      <c r="FA66" s="36">
        <f>FA65-EV44</f>
        <v>24402.14</v>
      </c>
      <c r="FB66" s="31" t="s">
        <v>2687</v>
      </c>
      <c r="FC66" s="34"/>
      <c r="FD66" s="305">
        <f>FD65-FA80</f>
        <v>11.726249899173222</v>
      </c>
    </row>
    <row r="67" spans="1:160" ht="15.75">
      <c r="ES67" s="352" t="s">
        <v>2698</v>
      </c>
      <c r="ET67" s="352"/>
      <c r="EU67" s="352">
        <f>FA67</f>
        <v>5603</v>
      </c>
      <c r="EV67" s="356">
        <v>233.45833333333334</v>
      </c>
      <c r="EW67" s="330" t="s">
        <v>2650</v>
      </c>
      <c r="EX67" s="331"/>
      <c r="EY67" s="331"/>
      <c r="EZ67" s="331"/>
      <c r="FA67" s="331">
        <f>EV31</f>
        <v>5603</v>
      </c>
    </row>
    <row r="68" spans="1:160" ht="15.75">
      <c r="A68" s="12" t="s">
        <v>147</v>
      </c>
      <c r="B68" s="13"/>
      <c r="ES68" s="352" t="s">
        <v>2706</v>
      </c>
      <c r="ET68" s="352"/>
      <c r="EU68" s="352">
        <f>FA68+FA69+FA70</f>
        <v>3530.6000000000004</v>
      </c>
      <c r="EV68" s="356">
        <v>147.08611111111111</v>
      </c>
      <c r="EW68" s="329" t="s">
        <v>2684</v>
      </c>
      <c r="EX68" s="329"/>
      <c r="EY68" s="329"/>
      <c r="EZ68" s="329"/>
      <c r="FA68" s="329">
        <f>SUM(EV33:EV40)</f>
        <v>1342.9</v>
      </c>
      <c r="FB68" s="13"/>
      <c r="FC68" s="13"/>
      <c r="FD68" s="13"/>
    </row>
    <row r="69" spans="1:160">
      <c r="A69" s="14" t="s">
        <v>148</v>
      </c>
      <c r="B69" s="15" t="s">
        <v>149</v>
      </c>
      <c r="EW69" s="80" t="s">
        <v>2685</v>
      </c>
      <c r="EX69" s="80"/>
      <c r="EY69" s="80"/>
      <c r="EZ69" s="80"/>
      <c r="FA69" s="80">
        <f>SUM(EV45:EV47)</f>
        <v>633.95000000000005</v>
      </c>
      <c r="FB69" s="13"/>
      <c r="FC69" s="13"/>
      <c r="FD69" s="13"/>
    </row>
    <row r="70" spans="1:160" ht="15.75">
      <c r="B70" s="2" t="s">
        <v>150</v>
      </c>
      <c r="ES70" s="357" t="s">
        <v>2707</v>
      </c>
      <c r="ET70" s="31"/>
      <c r="EU70" s="31">
        <f>EU68+EU67</f>
        <v>9133.6</v>
      </c>
      <c r="EW70" s="80" t="s">
        <v>2702</v>
      </c>
      <c r="EX70" s="80"/>
      <c r="EY70" s="80"/>
      <c r="EZ70" s="80"/>
      <c r="FA70" s="80">
        <f>EV32</f>
        <v>1553.75</v>
      </c>
      <c r="FB70" s="13"/>
      <c r="FC70" s="13"/>
      <c r="FD70" s="13"/>
    </row>
    <row r="71" spans="1:160">
      <c r="A71" s="3"/>
      <c r="B71" s="16" t="s">
        <v>151</v>
      </c>
      <c r="EW71" s="301" t="s">
        <v>2651</v>
      </c>
      <c r="EX71" s="301"/>
      <c r="EY71" s="301"/>
      <c r="EZ71" s="301"/>
      <c r="FA71" s="301"/>
    </row>
    <row r="72" spans="1:160">
      <c r="A72" s="17"/>
      <c r="B72" s="18" t="s">
        <v>152</v>
      </c>
      <c r="EW72" s="302" t="s">
        <v>2652</v>
      </c>
      <c r="EX72" s="302"/>
      <c r="EY72" s="302"/>
      <c r="EZ72" s="302"/>
      <c r="FA72" s="302">
        <f>SUM(DI44:DJ44,DN44)</f>
        <v>44.25</v>
      </c>
    </row>
    <row r="73" spans="1:160">
      <c r="B73" s="42" t="s">
        <v>172</v>
      </c>
      <c r="EW73" s="302" t="s">
        <v>2653</v>
      </c>
      <c r="EX73" s="302"/>
      <c r="EY73" s="302"/>
      <c r="EZ73" s="302"/>
      <c r="FA73" s="302">
        <f>DH44+DG44</f>
        <v>17</v>
      </c>
      <c r="FB73" s="31" t="s">
        <v>2654</v>
      </c>
    </row>
    <row r="74" spans="1:160">
      <c r="EW74" s="302" t="s">
        <v>2655</v>
      </c>
      <c r="EX74" s="302"/>
      <c r="EY74" s="302"/>
      <c r="EZ74" s="302"/>
      <c r="FA74" s="302">
        <f>DM44</f>
        <v>11.25</v>
      </c>
      <c r="FB74" s="31"/>
    </row>
    <row r="75" spans="1:160">
      <c r="EW75" s="302" t="s">
        <v>2656</v>
      </c>
      <c r="EX75" s="302"/>
      <c r="EY75" s="302"/>
      <c r="EZ75" s="302"/>
      <c r="FA75" s="302">
        <f>DD44+DC44</f>
        <v>30.5</v>
      </c>
      <c r="FB75" s="31" t="s">
        <v>2654</v>
      </c>
    </row>
    <row r="76" spans="1:160">
      <c r="EW76" s="302" t="s">
        <v>2657</v>
      </c>
      <c r="EX76" s="302"/>
      <c r="EY76" s="302"/>
      <c r="EZ76" s="302"/>
      <c r="FA76" s="302">
        <f>CY44+CZ44+DL44</f>
        <v>9</v>
      </c>
      <c r="FB76" s="31"/>
    </row>
    <row r="77" spans="1:160">
      <c r="A77" s="172"/>
      <c r="B77" s="13"/>
      <c r="C77" s="23"/>
      <c r="D77" s="13"/>
      <c r="E77" s="13"/>
      <c r="F77" s="279"/>
      <c r="G77" s="13"/>
      <c r="H77" s="13"/>
      <c r="I77" s="13"/>
      <c r="J77" s="13"/>
      <c r="K77" s="13"/>
      <c r="L77" s="13"/>
      <c r="M77" s="13"/>
      <c r="N77" s="13"/>
      <c r="EW77" s="302" t="s">
        <v>2658</v>
      </c>
      <c r="EX77" s="302"/>
      <c r="EY77" s="302"/>
      <c r="EZ77" s="302"/>
      <c r="FA77" s="302">
        <v>0</v>
      </c>
      <c r="FB77" s="31"/>
    </row>
    <row r="78" spans="1:160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EW78" s="302" t="s">
        <v>2659</v>
      </c>
      <c r="EX78" s="302"/>
      <c r="EY78" s="302"/>
      <c r="EZ78" s="302"/>
      <c r="FA78" s="302">
        <f>DA44+DE44+DK44</f>
        <v>8.75</v>
      </c>
      <c r="FB78" s="31" t="s">
        <v>2654</v>
      </c>
    </row>
    <row r="79" spans="1:160">
      <c r="A79" s="280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EW79" s="303"/>
      <c r="EX79" s="301" t="s">
        <v>2660</v>
      </c>
      <c r="EY79" s="301"/>
      <c r="EZ79" s="301"/>
      <c r="FA79" s="301">
        <f>SUM(FA72:FA78)</f>
        <v>120.75</v>
      </c>
    </row>
    <row r="80" spans="1:160">
      <c r="A80" s="25"/>
      <c r="B80" s="13"/>
      <c r="C80" s="13"/>
      <c r="D80" s="13"/>
      <c r="E80" s="13"/>
      <c r="F80" s="13"/>
      <c r="G80" s="13"/>
      <c r="H80" s="13"/>
      <c r="I80" s="281"/>
      <c r="J80" s="13"/>
      <c r="K80" s="13"/>
      <c r="L80" s="13"/>
      <c r="M80" s="13"/>
      <c r="N80" s="13"/>
      <c r="FA80" s="304">
        <f>FA79/2088</f>
        <v>5.7830459770114945E-2</v>
      </c>
      <c r="FB80" s="31" t="s">
        <v>2661</v>
      </c>
    </row>
    <row r="81" spans="1:14">
      <c r="A81" s="25"/>
      <c r="B81" s="13"/>
      <c r="C81" s="13"/>
      <c r="D81" s="13"/>
      <c r="E81" s="13"/>
      <c r="F81" s="13"/>
      <c r="G81" s="13"/>
      <c r="H81" s="13"/>
      <c r="I81" s="281"/>
      <c r="J81" s="13"/>
      <c r="K81" s="13"/>
      <c r="L81" s="13"/>
      <c r="M81" s="13"/>
      <c r="N81" s="13"/>
    </row>
    <row r="82" spans="1:14">
      <c r="A82" s="25"/>
      <c r="B82" s="13"/>
      <c r="C82" s="13"/>
      <c r="D82" s="13"/>
      <c r="E82" s="13"/>
      <c r="F82" s="13"/>
      <c r="G82" s="13"/>
      <c r="H82" s="13"/>
      <c r="I82" s="281"/>
      <c r="J82" s="13"/>
      <c r="K82" s="13"/>
      <c r="L82" s="13"/>
      <c r="M82" s="13"/>
      <c r="N82" s="13"/>
    </row>
    <row r="83" spans="1:14">
      <c r="A83" s="282"/>
      <c r="B83" s="13"/>
      <c r="C83" s="13"/>
      <c r="D83" s="13"/>
      <c r="E83" s="13"/>
      <c r="F83" s="13"/>
      <c r="G83" s="13"/>
      <c r="H83" s="13"/>
      <c r="I83" s="281"/>
      <c r="J83" s="54"/>
      <c r="K83" s="54"/>
      <c r="L83" s="13"/>
      <c r="M83" s="13"/>
      <c r="N83" s="13"/>
    </row>
    <row r="84" spans="1:1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</row>
    <row r="85" spans="1:14">
      <c r="A85" s="179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</row>
    <row r="86" spans="1:14">
      <c r="A86" s="77"/>
      <c r="B86" s="13"/>
      <c r="C86" s="283"/>
      <c r="D86" s="77"/>
      <c r="E86" s="13"/>
      <c r="F86" s="13"/>
      <c r="G86" s="13"/>
      <c r="H86" s="13"/>
      <c r="I86" s="281"/>
      <c r="J86" s="13"/>
      <c r="K86" s="13"/>
      <c r="L86" s="13"/>
      <c r="M86" s="13"/>
      <c r="N86" s="13"/>
    </row>
    <row r="87" spans="1:14">
      <c r="A87" s="77"/>
      <c r="B87" s="13"/>
      <c r="C87" s="284"/>
      <c r="D87" s="77"/>
      <c r="E87" s="13"/>
      <c r="F87" s="13"/>
      <c r="G87" s="13"/>
      <c r="H87" s="13"/>
      <c r="I87" s="281"/>
      <c r="J87" s="13"/>
      <c r="K87" s="13"/>
      <c r="L87" s="13"/>
      <c r="M87" s="13"/>
      <c r="N87" s="13"/>
    </row>
    <row r="88" spans="1:14">
      <c r="A88" s="77"/>
      <c r="B88" s="13"/>
      <c r="C88" s="284"/>
      <c r="D88" s="13"/>
      <c r="E88" s="13"/>
      <c r="F88" s="13"/>
      <c r="G88" s="13"/>
      <c r="H88" s="13"/>
      <c r="I88" s="281"/>
      <c r="J88" s="13"/>
      <c r="K88" s="13"/>
      <c r="L88" s="13"/>
      <c r="M88" s="13"/>
      <c r="N88" s="13"/>
    </row>
    <row r="89" spans="1:14">
      <c r="A89" s="285"/>
      <c r="B89" s="13"/>
      <c r="C89" s="281"/>
      <c r="D89" s="13"/>
      <c r="E89" s="13"/>
      <c r="F89" s="13"/>
      <c r="G89" s="13"/>
      <c r="H89" s="13"/>
      <c r="I89" s="281"/>
      <c r="J89" s="54"/>
      <c r="K89" s="54"/>
      <c r="L89" s="13"/>
      <c r="M89" s="13"/>
      <c r="N89" s="13"/>
    </row>
    <row r="90" spans="1:14">
      <c r="A90" s="286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</row>
    <row r="91" spans="1:14">
      <c r="A91" s="287"/>
      <c r="B91" s="13"/>
      <c r="C91" s="13"/>
      <c r="D91" s="13"/>
      <c r="E91" s="13"/>
      <c r="F91" s="13"/>
      <c r="G91" s="13"/>
      <c r="H91" s="13"/>
      <c r="I91" s="281"/>
      <c r="J91" s="54"/>
      <c r="K91" s="54"/>
      <c r="L91" s="13"/>
      <c r="M91" s="13"/>
      <c r="N91" s="13"/>
    </row>
    <row r="92" spans="1:14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</row>
    <row r="93" spans="1:14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</row>
    <row r="94" spans="1:14">
      <c r="A94" s="288"/>
      <c r="B94" s="289"/>
      <c r="C94" s="77"/>
      <c r="D94" s="77"/>
      <c r="E94" s="77"/>
      <c r="F94" s="77"/>
      <c r="G94" s="77"/>
      <c r="H94" s="77"/>
      <c r="I94" s="13"/>
      <c r="J94" s="13"/>
      <c r="K94" s="13"/>
      <c r="L94" s="13"/>
      <c r="M94" s="13"/>
      <c r="N94" s="13"/>
    </row>
    <row r="95" spans="1:14">
      <c r="A95" s="179"/>
      <c r="B95" s="77"/>
      <c r="C95" s="77"/>
      <c r="D95" s="77"/>
      <c r="E95" s="77"/>
      <c r="F95" s="77"/>
      <c r="G95" s="77"/>
      <c r="H95" s="77"/>
      <c r="I95" s="13"/>
      <c r="J95" s="13"/>
      <c r="K95" s="13"/>
      <c r="L95" s="13"/>
      <c r="M95" s="13"/>
      <c r="N95" s="13"/>
    </row>
    <row r="96" spans="1:14">
      <c r="A96" s="179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</row>
    <row r="97" spans="1:14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</row>
    <row r="98" spans="1:14">
      <c r="A98" s="75"/>
      <c r="B98" s="64"/>
      <c r="C98" s="361"/>
      <c r="D98" s="362"/>
      <c r="E98" s="362"/>
      <c r="F98" s="64"/>
      <c r="G98" s="281"/>
      <c r="H98" s="25"/>
      <c r="I98" s="13"/>
      <c r="J98" s="13"/>
      <c r="K98" s="13"/>
      <c r="L98" s="13"/>
      <c r="M98" s="13"/>
      <c r="N98" s="13"/>
    </row>
    <row r="99" spans="1:14">
      <c r="A99" s="13"/>
      <c r="B99" s="67"/>
      <c r="C99" s="290"/>
      <c r="D99" s="69"/>
      <c r="E99" s="69"/>
      <c r="F99" s="64"/>
      <c r="G99" s="69"/>
      <c r="H99" s="69"/>
      <c r="I99" s="13"/>
      <c r="J99" s="13"/>
      <c r="K99" s="13"/>
      <c r="L99" s="13"/>
      <c r="M99" s="13"/>
      <c r="N99" s="13"/>
    </row>
    <row r="100" spans="1:14">
      <c r="A100" s="13"/>
      <c r="B100" s="64"/>
      <c r="C100" s="360"/>
      <c r="D100" s="362"/>
      <c r="E100" s="362"/>
      <c r="F100" s="64"/>
      <c r="G100" s="69"/>
      <c r="H100" s="69"/>
      <c r="I100" s="13"/>
      <c r="J100" s="13"/>
      <c r="K100" s="13"/>
      <c r="L100" s="13"/>
      <c r="M100" s="13"/>
      <c r="N100" s="13"/>
    </row>
    <row r="101" spans="1:14">
      <c r="A101" s="13"/>
      <c r="B101" s="64"/>
      <c r="C101" s="360"/>
      <c r="D101" s="362"/>
      <c r="E101" s="362"/>
      <c r="F101" s="71"/>
      <c r="G101" s="69"/>
      <c r="H101" s="69"/>
      <c r="I101" s="13"/>
      <c r="J101" s="13"/>
      <c r="K101" s="13"/>
      <c r="L101" s="13"/>
      <c r="M101" s="13"/>
      <c r="N101" s="13"/>
    </row>
    <row r="102" spans="1:14">
      <c r="A102" s="77"/>
      <c r="B102" s="73"/>
      <c r="C102" s="69"/>
      <c r="D102" s="69"/>
      <c r="E102" s="69"/>
      <c r="F102" s="74"/>
      <c r="G102" s="75"/>
      <c r="H102" s="69"/>
      <c r="I102" s="13"/>
      <c r="J102" s="13"/>
      <c r="K102" s="13"/>
      <c r="L102" s="13"/>
      <c r="M102" s="13"/>
      <c r="N102" s="13"/>
    </row>
    <row r="103" spans="1:14">
      <c r="A103" s="77"/>
      <c r="B103" s="77"/>
      <c r="C103" s="77"/>
      <c r="D103" s="77"/>
      <c r="E103" s="77"/>
      <c r="F103" s="77"/>
      <c r="G103" s="77"/>
      <c r="H103" s="77"/>
      <c r="I103" s="13"/>
      <c r="J103" s="13"/>
      <c r="K103" s="13"/>
      <c r="L103" s="13"/>
      <c r="M103" s="13"/>
      <c r="N103" s="13"/>
    </row>
    <row r="104" spans="1:14">
      <c r="A104" s="31"/>
      <c r="B104" s="77"/>
      <c r="C104" s="77"/>
      <c r="D104" s="77"/>
      <c r="E104" s="77"/>
      <c r="F104" s="77"/>
      <c r="G104" s="77"/>
      <c r="H104" s="77"/>
      <c r="I104" s="13"/>
      <c r="J104" s="13"/>
      <c r="K104" s="13"/>
      <c r="L104" s="13"/>
      <c r="M104" s="13"/>
      <c r="N104" s="13"/>
    </row>
    <row r="105" spans="1:14">
      <c r="A105" s="77"/>
      <c r="B105" s="77"/>
      <c r="C105" s="77"/>
      <c r="D105" s="77"/>
      <c r="E105" s="77"/>
      <c r="F105" s="77"/>
      <c r="G105" s="77"/>
      <c r="H105" s="77"/>
      <c r="I105" s="13"/>
      <c r="J105" s="13"/>
      <c r="K105" s="13"/>
      <c r="L105" s="13"/>
      <c r="M105" s="13"/>
      <c r="N105" s="13"/>
    </row>
    <row r="106" spans="1:14">
      <c r="A106" s="77"/>
      <c r="B106" s="31"/>
      <c r="C106" s="291"/>
      <c r="D106" s="77"/>
      <c r="E106" s="292"/>
      <c r="F106" s="77"/>
      <c r="G106" s="77"/>
      <c r="H106" s="77"/>
      <c r="I106" s="13"/>
      <c r="J106" s="13"/>
      <c r="K106" s="13"/>
      <c r="L106" s="13"/>
      <c r="M106" s="13"/>
      <c r="N106" s="13"/>
    </row>
    <row r="107" spans="1:14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</row>
    <row r="108" spans="1:14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</row>
    <row r="109" spans="1:14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</row>
    <row r="110" spans="1:14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</row>
    <row r="111" spans="1:14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</row>
    <row r="112" spans="1:14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</row>
    <row r="113" spans="1:14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</row>
    <row r="114" spans="1: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</row>
    <row r="115" spans="1:14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</row>
    <row r="116" spans="1:14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</row>
    <row r="117" spans="1:14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</row>
    <row r="118" spans="1:14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</row>
    <row r="119" spans="1:14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</row>
    <row r="120" spans="1:14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</row>
    <row r="121" spans="1:14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</row>
    <row r="122" spans="1:14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</row>
    <row r="123" spans="1:14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</row>
    <row r="124" spans="1:1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</row>
    <row r="125" spans="1:14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</row>
    <row r="126" spans="1:14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</row>
  </sheetData>
  <mergeCells count="3">
    <mergeCell ref="C98:E98"/>
    <mergeCell ref="C100:E100"/>
    <mergeCell ref="C101:E101"/>
  </mergeCells>
  <pageMargins left="0.7" right="0.7" top="0.75" bottom="0.75" header="0.3" footer="0.3"/>
  <pageSetup paperSize="9" orientation="portrait" horizontalDpi="4294967295" verticalDpi="4294967295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L705"/>
  <sheetViews>
    <sheetView topLeftCell="A37" workbookViewId="0">
      <selection activeCell="C34" sqref="C34"/>
    </sheetView>
  </sheetViews>
  <sheetFormatPr baseColWidth="10" defaultRowHeight="15"/>
  <cols>
    <col min="1" max="1" width="12.85546875" customWidth="1"/>
    <col min="2" max="2" width="16.7109375" customWidth="1"/>
    <col min="3" max="3" width="25.140625" customWidth="1"/>
    <col min="4" max="4" width="11.7109375" customWidth="1"/>
    <col min="5" max="5" width="13.85546875" style="109" customWidth="1"/>
    <col min="6" max="6" width="9.42578125" style="109" customWidth="1"/>
    <col min="7" max="7" width="5.140625" customWidth="1"/>
    <col min="9" max="9" width="47" customWidth="1"/>
  </cols>
  <sheetData>
    <row r="1" spans="1:12" ht="18">
      <c r="A1" s="81" t="s">
        <v>203</v>
      </c>
      <c r="B1" s="81"/>
      <c r="C1" s="81" t="s">
        <v>204</v>
      </c>
      <c r="D1" s="366" t="s">
        <v>205</v>
      </c>
      <c r="E1" s="366"/>
      <c r="F1" s="367"/>
      <c r="G1" s="81"/>
      <c r="H1" s="82" t="s">
        <v>206</v>
      </c>
      <c r="I1" s="83"/>
      <c r="J1" s="81"/>
    </row>
    <row r="2" spans="1:12">
      <c r="D2" t="s">
        <v>207</v>
      </c>
      <c r="E2" t="s">
        <v>208</v>
      </c>
      <c r="F2" t="s">
        <v>209</v>
      </c>
      <c r="H2" s="84" t="s">
        <v>210</v>
      </c>
    </row>
    <row r="3" spans="1:12">
      <c r="A3" s="85" t="s">
        <v>211</v>
      </c>
      <c r="B3" s="85"/>
      <c r="C3" s="86"/>
      <c r="D3" s="259">
        <f>D6+D8+D11+D13+D17</f>
        <v>537</v>
      </c>
      <c r="E3" s="87">
        <f>E17+E8+E11+E13-E17+E6</f>
        <v>178.71597222222218</v>
      </c>
      <c r="F3" s="88"/>
      <c r="H3" s="89" t="s">
        <v>212</v>
      </c>
    </row>
    <row r="4" spans="1:12" s="91" customFormat="1" ht="70.5" customHeight="1" thickBot="1">
      <c r="A4" s="90"/>
      <c r="B4" s="90"/>
      <c r="C4" s="90"/>
      <c r="D4" s="91" t="s">
        <v>213</v>
      </c>
      <c r="E4" s="92" t="s">
        <v>214</v>
      </c>
      <c r="F4" s="93"/>
      <c r="H4" s="368" t="s">
        <v>215</v>
      </c>
      <c r="I4" s="369"/>
    </row>
    <row r="5" spans="1:12" ht="15.75" thickTop="1">
      <c r="A5" s="85"/>
      <c r="B5" s="85"/>
      <c r="C5" s="85"/>
      <c r="E5"/>
      <c r="F5"/>
      <c r="H5" s="11"/>
    </row>
    <row r="6" spans="1:12" s="13" customFormat="1" ht="102" customHeight="1">
      <c r="A6" s="94" t="s">
        <v>216</v>
      </c>
      <c r="B6" s="95"/>
      <c r="C6" s="247">
        <v>0</v>
      </c>
      <c r="D6" s="248">
        <v>0</v>
      </c>
      <c r="E6" s="249">
        <v>0</v>
      </c>
      <c r="F6" s="250">
        <v>0</v>
      </c>
      <c r="G6" s="77"/>
      <c r="H6" s="96"/>
      <c r="I6" s="96"/>
      <c r="J6" s="96"/>
      <c r="K6" s="97"/>
      <c r="L6" s="97"/>
    </row>
    <row r="7" spans="1:12" s="13" customFormat="1" ht="20.25" customHeight="1">
      <c r="A7" s="94"/>
      <c r="B7" s="95"/>
      <c r="C7" s="180"/>
      <c r="D7" s="183"/>
      <c r="E7" s="181"/>
      <c r="F7" s="182"/>
      <c r="G7" s="77"/>
      <c r="H7" s="96"/>
      <c r="I7" s="96"/>
      <c r="J7" s="96"/>
      <c r="K7" s="97"/>
      <c r="L7" s="97"/>
    </row>
    <row r="8" spans="1:12" ht="28.5" customHeight="1">
      <c r="A8" s="370" t="s">
        <v>217</v>
      </c>
      <c r="B8" s="371"/>
      <c r="C8" s="251">
        <v>246</v>
      </c>
      <c r="D8" s="252">
        <f>'Heures audio prod-extrNetBiblio'!B263</f>
        <v>246</v>
      </c>
      <c r="E8" s="253">
        <f>'Heures audio prod-extrNetBiblio'!M263</f>
        <v>71.304861111111123</v>
      </c>
      <c r="F8" s="184"/>
      <c r="H8" s="372" t="s">
        <v>218</v>
      </c>
      <c r="I8" s="373"/>
      <c r="J8" s="373"/>
      <c r="K8" s="373"/>
      <c r="L8" s="373"/>
    </row>
    <row r="9" spans="1:12" ht="18" customHeight="1">
      <c r="A9" s="81"/>
      <c r="C9" s="11"/>
      <c r="D9" s="11"/>
      <c r="E9" s="11"/>
      <c r="F9" s="11"/>
      <c r="H9" s="272" t="s">
        <v>219</v>
      </c>
      <c r="I9" s="117" t="s">
        <v>2622</v>
      </c>
      <c r="J9" s="98"/>
      <c r="K9" s="98"/>
      <c r="L9" s="98"/>
    </row>
    <row r="10" spans="1:12" ht="16.5" customHeight="1">
      <c r="A10" s="81"/>
      <c r="C10" s="11"/>
      <c r="D10" s="11"/>
      <c r="E10" s="11"/>
      <c r="F10" s="11"/>
      <c r="H10" s="272" t="s">
        <v>220</v>
      </c>
      <c r="I10" s="117" t="s">
        <v>2621</v>
      </c>
      <c r="J10" s="98"/>
      <c r="K10" s="98"/>
      <c r="L10" s="98"/>
    </row>
    <row r="11" spans="1:12" s="99" customFormat="1" ht="30" customHeight="1">
      <c r="A11" s="374" t="s">
        <v>221</v>
      </c>
      <c r="B11" s="375"/>
      <c r="C11" s="254">
        <v>119</v>
      </c>
      <c r="D11" s="255">
        <f>'Heures audio prod-extrNetBiblio'!B388</f>
        <v>119</v>
      </c>
      <c r="E11" s="253">
        <f>'Heures audio prod-extrNetBiblio'!M388</f>
        <v>38.601388888888856</v>
      </c>
      <c r="F11" s="185"/>
      <c r="H11" s="376" t="s">
        <v>222</v>
      </c>
      <c r="I11" s="377"/>
      <c r="J11" s="377"/>
      <c r="K11" s="377"/>
      <c r="L11" s="377"/>
    </row>
    <row r="12" spans="1:12" s="66" customFormat="1" ht="9.75" customHeight="1">
      <c r="A12" s="100"/>
      <c r="C12" s="186"/>
      <c r="D12" s="187"/>
      <c r="E12" s="188"/>
      <c r="F12" s="188"/>
      <c r="H12" s="101"/>
      <c r="I12" s="102"/>
      <c r="J12" s="102"/>
      <c r="K12" s="102"/>
      <c r="L12" s="102"/>
    </row>
    <row r="13" spans="1:12" ht="30" customHeight="1">
      <c r="A13" s="363" t="s">
        <v>223</v>
      </c>
      <c r="B13" s="359"/>
      <c r="C13" s="256">
        <v>172</v>
      </c>
      <c r="D13" s="257">
        <f>'Heures audio prod-extrNetBiblio'!B604</f>
        <v>172</v>
      </c>
      <c r="E13" s="258">
        <f>'Heures audio prod-extrNetBiblio'!M604</f>
        <v>68.809722222222206</v>
      </c>
      <c r="F13" s="185"/>
      <c r="G13" s="103"/>
      <c r="H13" s="372" t="s">
        <v>224</v>
      </c>
      <c r="I13" s="378"/>
      <c r="J13" s="378"/>
      <c r="K13" s="378"/>
      <c r="L13" s="378"/>
    </row>
    <row r="14" spans="1:12" s="91" customFormat="1" ht="15.75" customHeight="1" thickBot="1">
      <c r="A14" s="104"/>
      <c r="B14" s="105"/>
      <c r="C14" s="189"/>
      <c r="D14" s="190" t="s">
        <v>213</v>
      </c>
      <c r="E14" s="191">
        <f>SUM(E6:E13)</f>
        <v>178.71597222222218</v>
      </c>
      <c r="F14" s="192"/>
      <c r="H14" s="106"/>
      <c r="I14" s="107"/>
      <c r="J14" s="107"/>
      <c r="K14" s="107"/>
      <c r="L14" s="107"/>
    </row>
    <row r="15" spans="1:12" ht="27.75" customHeight="1" thickTop="1">
      <c r="A15" s="108"/>
      <c r="B15" s="98"/>
      <c r="C15" s="98"/>
      <c r="H15" s="110"/>
      <c r="I15" s="111"/>
      <c r="J15" s="111"/>
      <c r="K15" s="111"/>
      <c r="L15" s="111"/>
    </row>
    <row r="16" spans="1:12" ht="15" customHeight="1">
      <c r="A16" s="379" t="s">
        <v>225</v>
      </c>
      <c r="B16" s="380"/>
      <c r="C16" s="98"/>
      <c r="E16"/>
      <c r="F16"/>
      <c r="H16" s="110"/>
      <c r="I16" s="111"/>
      <c r="J16" s="111"/>
      <c r="K16" s="111"/>
      <c r="L16" s="111"/>
    </row>
    <row r="17" spans="1:12" ht="97.5" customHeight="1">
      <c r="A17" s="370" t="s">
        <v>226</v>
      </c>
      <c r="B17" s="381"/>
      <c r="C17" s="112"/>
      <c r="D17" s="260">
        <v>0</v>
      </c>
      <c r="E17" s="262">
        <v>0</v>
      </c>
      <c r="F17" s="262">
        <v>0</v>
      </c>
      <c r="G17" s="77"/>
      <c r="H17" s="382" t="s">
        <v>227</v>
      </c>
      <c r="I17" s="382"/>
      <c r="J17" s="382"/>
      <c r="K17" s="373"/>
      <c r="L17" s="373"/>
    </row>
    <row r="18" spans="1:12" s="13" customFormat="1" ht="20.25" customHeight="1" thickBot="1">
      <c r="A18" s="94"/>
      <c r="B18" s="95"/>
      <c r="C18" s="113"/>
      <c r="D18" s="31"/>
      <c r="E18" s="263">
        <f>E17+(ROUNDDOWN(F17/60,0))</f>
        <v>0</v>
      </c>
      <c r="F18" s="264">
        <f>F17-(ROUNDDOWN(F17/60,0)*60)</f>
        <v>0</v>
      </c>
      <c r="G18" s="77"/>
      <c r="H18" s="96"/>
      <c r="I18" s="96"/>
      <c r="J18" s="96"/>
      <c r="K18" s="97"/>
      <c r="L18" s="97"/>
    </row>
    <row r="19" spans="1:12" ht="15" customHeight="1" thickTop="1">
      <c r="A19" s="114"/>
      <c r="B19" s="115"/>
      <c r="C19" s="98"/>
      <c r="E19"/>
      <c r="F19"/>
      <c r="H19" s="110"/>
      <c r="I19" s="111"/>
      <c r="J19" s="111"/>
      <c r="K19" s="111"/>
      <c r="L19" s="111"/>
    </row>
    <row r="20" spans="1:12" s="118" customFormat="1" ht="15" customHeight="1">
      <c r="A20" s="363" t="s">
        <v>228</v>
      </c>
      <c r="B20" s="359"/>
      <c r="C20" s="359"/>
      <c r="D20" s="116">
        <v>0</v>
      </c>
      <c r="E20" s="117">
        <v>0</v>
      </c>
      <c r="F20" s="117"/>
      <c r="H20" s="364" t="s">
        <v>229</v>
      </c>
      <c r="I20" s="365"/>
      <c r="J20" s="365"/>
      <c r="K20" s="365"/>
      <c r="L20" s="117"/>
    </row>
    <row r="21" spans="1:12" ht="48" customHeight="1">
      <c r="A21" s="119" t="s">
        <v>230</v>
      </c>
      <c r="B21" s="98"/>
      <c r="C21" s="118" t="s">
        <v>2619</v>
      </c>
      <c r="D21" s="260">
        <v>5</v>
      </c>
      <c r="E21" s="261">
        <v>0.30208333333333331</v>
      </c>
      <c r="F21" s="120"/>
      <c r="H21" s="372" t="s">
        <v>231</v>
      </c>
      <c r="I21" s="373"/>
      <c r="J21" s="373"/>
      <c r="K21" s="373"/>
      <c r="L21" s="373"/>
    </row>
    <row r="22" spans="1:12" ht="48" customHeight="1">
      <c r="A22" s="119" t="s">
        <v>232</v>
      </c>
      <c r="B22" s="98" t="s">
        <v>2620</v>
      </c>
      <c r="C22" s="118"/>
      <c r="D22" s="260">
        <v>1</v>
      </c>
      <c r="E22" s="261">
        <v>2.013888888888889E-2</v>
      </c>
      <c r="F22" s="120"/>
      <c r="H22" s="110"/>
      <c r="I22" s="98"/>
      <c r="J22" s="98"/>
      <c r="K22" s="98"/>
      <c r="L22" s="98"/>
    </row>
    <row r="23" spans="1:12" ht="48" customHeight="1">
      <c r="A23" s="119" t="s">
        <v>233</v>
      </c>
      <c r="B23" s="98"/>
      <c r="C23" s="118"/>
      <c r="D23" s="260">
        <v>0</v>
      </c>
      <c r="E23" s="261">
        <v>0</v>
      </c>
      <c r="F23" s="120"/>
      <c r="H23" s="372" t="s">
        <v>231</v>
      </c>
      <c r="I23" s="373"/>
      <c r="J23" s="373"/>
      <c r="K23" s="373"/>
      <c r="L23" s="373"/>
    </row>
    <row r="24" spans="1:12" ht="51.75" customHeight="1">
      <c r="A24" s="119" t="s">
        <v>234</v>
      </c>
      <c r="B24" s="98"/>
      <c r="C24" s="98"/>
      <c r="D24" s="260">
        <v>4</v>
      </c>
      <c r="E24" s="261">
        <v>0.73055555555555562</v>
      </c>
      <c r="F24" s="120"/>
      <c r="H24" s="372" t="s">
        <v>231</v>
      </c>
      <c r="I24" s="373"/>
      <c r="J24" s="373"/>
      <c r="K24" s="373"/>
      <c r="L24" s="373"/>
    </row>
    <row r="25" spans="1:12" s="91" customFormat="1" ht="18.75" customHeight="1" thickBot="1">
      <c r="A25" s="104"/>
      <c r="B25" s="105"/>
      <c r="C25" s="121" t="s">
        <v>235</v>
      </c>
      <c r="D25" s="123">
        <f>SUM(D20:D24)</f>
        <v>10</v>
      </c>
      <c r="E25" s="265">
        <f>SUM(E20:E24)</f>
        <v>1.0527777777777778</v>
      </c>
      <c r="F25" s="123"/>
      <c r="H25" s="106"/>
      <c r="I25" s="105"/>
      <c r="J25" s="105"/>
      <c r="K25" s="105"/>
      <c r="L25" s="105"/>
    </row>
    <row r="26" spans="1:12" ht="50.25" customHeight="1" thickTop="1" thickBot="1">
      <c r="A26" s="389" t="s">
        <v>236</v>
      </c>
      <c r="B26" s="390"/>
      <c r="C26" s="390"/>
      <c r="D26" s="11">
        <f>D24+D23+D22+D21+D20+D17+D13+D11+D8+D6</f>
        <v>547</v>
      </c>
      <c r="E26"/>
      <c r="F26" s="110"/>
      <c r="G26" s="98"/>
      <c r="H26" s="98"/>
      <c r="I26" s="98"/>
      <c r="J26" s="98"/>
    </row>
    <row r="27" spans="1:12" s="125" customFormat="1" ht="27.75" customHeight="1">
      <c r="A27" s="124" t="s">
        <v>237</v>
      </c>
      <c r="F27" s="391" t="s">
        <v>238</v>
      </c>
      <c r="G27" s="391"/>
      <c r="H27" s="391"/>
      <c r="I27" s="391"/>
      <c r="J27" s="391"/>
      <c r="K27" s="391"/>
    </row>
    <row r="28" spans="1:12" s="66" customFormat="1" ht="27.75" customHeight="1">
      <c r="A28" s="126" t="s">
        <v>239</v>
      </c>
      <c r="B28" s="127"/>
      <c r="F28" s="128"/>
      <c r="G28" s="128"/>
      <c r="H28" s="128"/>
      <c r="I28" s="128"/>
      <c r="J28" s="128"/>
      <c r="K28" s="128"/>
    </row>
    <row r="29" spans="1:12" s="66" customFormat="1" ht="27.75" customHeight="1">
      <c r="A29" s="100" t="s">
        <v>240</v>
      </c>
      <c r="F29" s="128"/>
      <c r="G29" s="128"/>
      <c r="H29" s="128"/>
      <c r="I29" s="128"/>
      <c r="J29" s="128"/>
      <c r="K29" s="128"/>
    </row>
    <row r="30" spans="1:12" s="66" customFormat="1">
      <c r="A30" s="392" t="s">
        <v>241</v>
      </c>
      <c r="B30" s="393"/>
      <c r="C30" s="393"/>
      <c r="D30" s="102">
        <f>D8</f>
        <v>246</v>
      </c>
      <c r="E30" s="87">
        <f>E8</f>
        <v>71.304861111111123</v>
      </c>
      <c r="F30" s="129"/>
      <c r="H30" s="130"/>
      <c r="I30" s="131" t="s">
        <v>242</v>
      </c>
      <c r="J30" s="130"/>
      <c r="K30" s="130"/>
      <c r="L30" s="130"/>
    </row>
    <row r="31" spans="1:12" s="66" customFormat="1">
      <c r="A31" s="132" t="s">
        <v>243</v>
      </c>
      <c r="B31" s="102"/>
      <c r="C31" s="102"/>
      <c r="D31" s="102">
        <f t="shared" ref="D31:E34" si="0">D21</f>
        <v>5</v>
      </c>
      <c r="E31" s="87">
        <f t="shared" si="0"/>
        <v>0.30208333333333331</v>
      </c>
      <c r="F31" s="129"/>
      <c r="G31" s="133"/>
      <c r="H31" s="130"/>
      <c r="I31" s="131" t="s">
        <v>242</v>
      </c>
      <c r="J31" s="130"/>
      <c r="K31" s="130"/>
      <c r="L31" s="130"/>
    </row>
    <row r="32" spans="1:12" s="66" customFormat="1">
      <c r="A32" s="132" t="s">
        <v>244</v>
      </c>
      <c r="B32" s="102"/>
      <c r="C32" s="102"/>
      <c r="D32" s="102">
        <f t="shared" si="0"/>
        <v>1</v>
      </c>
      <c r="E32" s="87">
        <f t="shared" si="0"/>
        <v>2.013888888888889E-2</v>
      </c>
      <c r="F32" s="129"/>
      <c r="G32" s="133"/>
      <c r="H32" s="130"/>
      <c r="I32" s="131" t="s">
        <v>242</v>
      </c>
      <c r="J32" s="130"/>
      <c r="K32" s="130"/>
      <c r="L32" s="130"/>
    </row>
    <row r="33" spans="1:12" s="66" customFormat="1">
      <c r="A33" s="132" t="s">
        <v>245</v>
      </c>
      <c r="B33" s="102"/>
      <c r="C33" s="102"/>
      <c r="D33" s="102">
        <f t="shared" si="0"/>
        <v>0</v>
      </c>
      <c r="E33" s="87">
        <f t="shared" si="0"/>
        <v>0</v>
      </c>
      <c r="F33" s="129"/>
      <c r="G33" s="133"/>
      <c r="H33" s="130"/>
      <c r="I33" s="131" t="s">
        <v>242</v>
      </c>
      <c r="J33" s="130"/>
      <c r="K33" s="130"/>
      <c r="L33" s="130"/>
    </row>
    <row r="34" spans="1:12" s="66" customFormat="1" ht="38.25">
      <c r="A34" s="132" t="s">
        <v>234</v>
      </c>
      <c r="B34" s="102"/>
      <c r="C34" s="102"/>
      <c r="D34" s="102">
        <f t="shared" si="0"/>
        <v>4</v>
      </c>
      <c r="E34" s="87">
        <f t="shared" si="0"/>
        <v>0.73055555555555562</v>
      </c>
      <c r="F34" s="129"/>
      <c r="G34" s="133"/>
      <c r="H34" s="130"/>
      <c r="I34" s="131" t="s">
        <v>246</v>
      </c>
      <c r="J34" s="130"/>
      <c r="K34" s="130"/>
      <c r="L34" s="130"/>
    </row>
    <row r="35" spans="1:12" s="66" customFormat="1" ht="25.5">
      <c r="A35" s="132" t="s">
        <v>247</v>
      </c>
      <c r="B35" s="102"/>
      <c r="C35" s="102"/>
      <c r="D35" s="102">
        <f>D20</f>
        <v>0</v>
      </c>
      <c r="E35" s="87">
        <f>E20</f>
        <v>0</v>
      </c>
      <c r="F35" s="129"/>
      <c r="G35" s="133"/>
      <c r="H35" s="130"/>
      <c r="I35" s="133"/>
      <c r="J35" s="130"/>
      <c r="K35" s="130"/>
      <c r="L35" s="130"/>
    </row>
    <row r="36" spans="1:12" s="91" customFormat="1" ht="15.75" thickBot="1">
      <c r="A36" s="104"/>
      <c r="B36" s="105"/>
      <c r="C36" s="105"/>
      <c r="D36" s="121">
        <f>SUM(D30:D35)</f>
        <v>256</v>
      </c>
      <c r="E36" s="122">
        <f>SUM(E30:E35)</f>
        <v>72.3576388888889</v>
      </c>
      <c r="F36" s="270">
        <v>72.357638888888886</v>
      </c>
      <c r="G36" s="134"/>
      <c r="H36" s="135"/>
      <c r="I36" s="136"/>
      <c r="J36" s="137"/>
      <c r="K36" s="135"/>
      <c r="L36" s="135"/>
    </row>
    <row r="37" spans="1:12" ht="7.5" customHeight="1" thickTop="1">
      <c r="A37" s="108"/>
      <c r="B37" s="98"/>
      <c r="C37" s="98"/>
      <c r="D37" s="98"/>
      <c r="E37" s="25"/>
      <c r="G37" s="138"/>
      <c r="H37" s="139"/>
      <c r="I37" s="139"/>
      <c r="J37" s="139"/>
      <c r="K37" s="139"/>
      <c r="L37" s="139"/>
    </row>
    <row r="38" spans="1:12" ht="30" customHeight="1">
      <c r="A38" s="383" t="s">
        <v>248</v>
      </c>
      <c r="B38" s="384"/>
      <c r="C38" s="384"/>
      <c r="D38" s="111">
        <f>D17+D6</f>
        <v>0</v>
      </c>
      <c r="E38" s="87">
        <f>E17+E6</f>
        <v>0</v>
      </c>
      <c r="F38" s="111"/>
      <c r="G38" s="140" t="s">
        <v>249</v>
      </c>
      <c r="H38" s="139"/>
      <c r="I38" s="139"/>
      <c r="J38" s="139"/>
      <c r="K38" s="139"/>
      <c r="L38" s="139"/>
    </row>
    <row r="39" spans="1:12">
      <c r="A39" s="141" t="s">
        <v>250</v>
      </c>
      <c r="B39" s="111"/>
      <c r="C39" s="111"/>
      <c r="D39" s="111">
        <f>D11</f>
        <v>119</v>
      </c>
      <c r="E39" s="87">
        <f>E11</f>
        <v>38.601388888888856</v>
      </c>
      <c r="G39" s="138"/>
      <c r="H39" s="139"/>
      <c r="I39" s="139"/>
      <c r="J39" s="139"/>
      <c r="K39" s="139"/>
      <c r="L39" s="139"/>
    </row>
    <row r="40" spans="1:12" s="91" customFormat="1" ht="15.75" thickBot="1">
      <c r="A40" s="142"/>
      <c r="B40" s="107"/>
      <c r="C40" s="107"/>
      <c r="D40" s="143">
        <f>SUM(D38:D39)</f>
        <v>119</v>
      </c>
      <c r="E40" s="122">
        <f t="shared" ref="E40" si="1">SUM(E38:E39)</f>
        <v>38.601388888888856</v>
      </c>
      <c r="F40" s="143"/>
      <c r="G40" s="134"/>
      <c r="H40" s="135"/>
      <c r="I40" s="135"/>
      <c r="J40" s="135"/>
      <c r="K40" s="135"/>
      <c r="L40" s="135"/>
    </row>
    <row r="41" spans="1:12" ht="6.75" customHeight="1" thickTop="1">
      <c r="A41" s="141"/>
      <c r="B41" s="111"/>
      <c r="C41" s="111"/>
      <c r="D41" s="25"/>
      <c r="F41" s="138"/>
      <c r="G41" s="139"/>
      <c r="H41" s="139"/>
      <c r="I41" s="139"/>
      <c r="J41" s="139"/>
      <c r="K41" s="139"/>
    </row>
    <row r="42" spans="1:12" s="145" customFormat="1" ht="15.75" thickBot="1">
      <c r="A42" s="385" t="s">
        <v>200</v>
      </c>
      <c r="B42" s="386"/>
      <c r="C42" s="386"/>
      <c r="D42" s="266">
        <v>0</v>
      </c>
      <c r="E42" s="122">
        <v>0</v>
      </c>
      <c r="F42" s="268"/>
      <c r="G42" s="144"/>
      <c r="H42" s="144"/>
      <c r="I42" s="144"/>
      <c r="J42" s="144"/>
      <c r="K42" s="144"/>
    </row>
    <row r="43" spans="1:12" s="66" customFormat="1" ht="8.25" customHeight="1" thickTop="1">
      <c r="A43" s="146"/>
      <c r="B43" s="147"/>
      <c r="C43" s="147"/>
      <c r="D43" s="30"/>
      <c r="E43" s="129"/>
      <c r="F43" s="133"/>
      <c r="G43" s="130"/>
      <c r="H43" s="130"/>
      <c r="I43" s="130"/>
      <c r="J43" s="130"/>
      <c r="K43" s="130"/>
    </row>
    <row r="44" spans="1:12" s="66" customFormat="1" ht="26.25" customHeight="1">
      <c r="A44" s="126" t="s">
        <v>251</v>
      </c>
      <c r="B44" s="147"/>
      <c r="C44" s="147"/>
      <c r="D44" s="30"/>
      <c r="E44" s="129"/>
      <c r="F44" s="133"/>
      <c r="G44" s="130"/>
      <c r="H44" s="130"/>
      <c r="I44" s="130"/>
      <c r="J44" s="130"/>
      <c r="K44" s="130"/>
    </row>
    <row r="45" spans="1:12" s="149" customFormat="1" ht="19.5" customHeight="1" thickBot="1">
      <c r="A45" s="148" t="s">
        <v>252</v>
      </c>
      <c r="D45" s="267">
        <f>D13</f>
        <v>172</v>
      </c>
      <c r="E45" s="150">
        <f>E13</f>
        <v>68.809722222222206</v>
      </c>
      <c r="F45" s="151">
        <f>F14</f>
        <v>0</v>
      </c>
      <c r="G45" s="387" t="s">
        <v>253</v>
      </c>
      <c r="H45" s="388"/>
      <c r="I45" s="388"/>
      <c r="J45" s="388"/>
      <c r="K45" s="388"/>
    </row>
    <row r="46" spans="1:12" s="66" customFormat="1">
      <c r="A46" s="152"/>
      <c r="E46" s="129"/>
      <c r="F46" s="153"/>
      <c r="G46" s="154"/>
      <c r="H46" s="154"/>
      <c r="I46" s="154"/>
      <c r="J46" s="154"/>
    </row>
    <row r="47" spans="1:12" s="66" customFormat="1" ht="15.75" thickBot="1">
      <c r="A47" s="152"/>
      <c r="D47" s="129"/>
      <c r="E47" s="122">
        <f>E42+E40+E36+E25+E14</f>
        <v>290.7277777777777</v>
      </c>
      <c r="F47" s="269"/>
      <c r="G47" s="155" t="s">
        <v>254</v>
      </c>
      <c r="H47" s="154"/>
      <c r="I47" s="154"/>
      <c r="J47" s="154"/>
    </row>
    <row r="48" spans="1:12" s="66" customFormat="1" ht="16.5" thickTop="1" thickBot="1">
      <c r="A48" s="152"/>
      <c r="E48" s="129"/>
      <c r="F48" s="153"/>
      <c r="G48" s="154"/>
      <c r="H48" s="154"/>
      <c r="I48" s="154"/>
      <c r="J48" s="154"/>
    </row>
    <row r="49" spans="1:11" s="157" customFormat="1">
      <c r="A49" s="156"/>
      <c r="E49" s="158"/>
      <c r="F49" s="159"/>
      <c r="G49" s="160"/>
      <c r="H49" s="160"/>
      <c r="I49" s="160"/>
      <c r="J49" s="160"/>
    </row>
    <row r="55" spans="1:11">
      <c r="B55" s="161"/>
      <c r="C55" s="161"/>
      <c r="D55" s="161"/>
      <c r="E55" s="162"/>
      <c r="F55" s="162"/>
      <c r="G55" s="161"/>
      <c r="H55" s="161"/>
      <c r="I55" s="161"/>
      <c r="J55" s="161"/>
    </row>
    <row r="56" spans="1:11" s="11" customFormat="1">
      <c r="A56" s="75"/>
      <c r="B56" s="75"/>
      <c r="C56" s="163"/>
      <c r="D56" s="163"/>
      <c r="E56" s="164"/>
      <c r="F56" s="164"/>
      <c r="G56" s="163"/>
      <c r="H56" s="163"/>
      <c r="I56" s="163"/>
      <c r="J56" s="163"/>
      <c r="K56" s="75"/>
    </row>
    <row r="57" spans="1:11" s="168" customFormat="1">
      <c r="A57" s="13"/>
      <c r="B57" s="165"/>
      <c r="C57" s="165"/>
      <c r="D57" s="165"/>
      <c r="E57" s="166"/>
      <c r="F57" s="166"/>
      <c r="G57" s="167"/>
      <c r="H57" s="165"/>
      <c r="I57" s="167"/>
      <c r="J57" s="167"/>
      <c r="K57" s="13"/>
    </row>
    <row r="58" spans="1:11" s="168" customFormat="1">
      <c r="A58" s="13"/>
      <c r="B58" s="165"/>
      <c r="C58" s="165"/>
      <c r="D58" s="165"/>
      <c r="E58" s="166"/>
      <c r="F58" s="166"/>
      <c r="G58" s="167"/>
      <c r="H58" s="165"/>
      <c r="I58" s="167"/>
      <c r="J58" s="167"/>
      <c r="K58" s="13"/>
    </row>
    <row r="59" spans="1:11" s="168" customFormat="1">
      <c r="A59" s="13"/>
      <c r="B59" s="165"/>
      <c r="C59" s="165"/>
      <c r="D59" s="165"/>
      <c r="E59" s="166"/>
      <c r="F59" s="166"/>
      <c r="G59" s="167"/>
      <c r="H59" s="165"/>
      <c r="I59" s="167"/>
      <c r="J59" s="167"/>
      <c r="K59" s="13"/>
    </row>
    <row r="60" spans="1:11" s="168" customFormat="1">
      <c r="A60" s="13"/>
      <c r="B60" s="165"/>
      <c r="C60" s="165"/>
      <c r="D60" s="165"/>
      <c r="E60" s="166"/>
      <c r="F60" s="166"/>
      <c r="G60" s="167"/>
      <c r="H60" s="165"/>
      <c r="I60" s="167"/>
      <c r="J60" s="167"/>
      <c r="K60" s="13"/>
    </row>
    <row r="61" spans="1:11" s="168" customFormat="1">
      <c r="A61" s="13"/>
      <c r="B61" s="165"/>
      <c r="C61" s="165"/>
      <c r="D61" s="165"/>
      <c r="E61" s="166"/>
      <c r="F61" s="166"/>
      <c r="G61" s="167"/>
      <c r="H61" s="165"/>
      <c r="I61" s="167"/>
      <c r="J61" s="167"/>
      <c r="K61" s="13"/>
    </row>
    <row r="62" spans="1:11" s="168" customFormat="1">
      <c r="A62" s="13"/>
      <c r="B62" s="165"/>
      <c r="C62" s="165"/>
      <c r="D62" s="165"/>
      <c r="E62" s="166"/>
      <c r="F62" s="166"/>
      <c r="G62" s="167"/>
      <c r="H62" s="165"/>
      <c r="I62" s="167"/>
      <c r="J62" s="167"/>
      <c r="K62" s="13"/>
    </row>
    <row r="63" spans="1:11" s="168" customFormat="1">
      <c r="A63" s="13"/>
      <c r="B63" s="165"/>
      <c r="C63" s="165"/>
      <c r="D63" s="165"/>
      <c r="E63" s="166"/>
      <c r="F63" s="166"/>
      <c r="G63" s="167"/>
      <c r="H63" s="165"/>
      <c r="I63" s="167"/>
      <c r="J63" s="167"/>
      <c r="K63" s="13"/>
    </row>
    <row r="64" spans="1:11" s="168" customFormat="1">
      <c r="A64" s="13"/>
      <c r="B64" s="165"/>
      <c r="C64" s="165"/>
      <c r="D64" s="165"/>
      <c r="E64" s="166"/>
      <c r="F64" s="166"/>
      <c r="G64" s="167"/>
      <c r="H64" s="165"/>
      <c r="I64" s="167"/>
      <c r="J64" s="167"/>
      <c r="K64" s="13"/>
    </row>
    <row r="65" spans="1:11" s="168" customFormat="1">
      <c r="A65" s="13"/>
      <c r="B65" s="165"/>
      <c r="C65" s="165"/>
      <c r="D65" s="165"/>
      <c r="E65" s="166"/>
      <c r="F65" s="166"/>
      <c r="G65" s="167"/>
      <c r="H65" s="165"/>
      <c r="I65" s="167"/>
      <c r="J65" s="167"/>
      <c r="K65" s="13"/>
    </row>
    <row r="66" spans="1:11" s="168" customFormat="1">
      <c r="A66" s="13"/>
      <c r="B66" s="165"/>
      <c r="C66" s="165"/>
      <c r="D66" s="165"/>
      <c r="E66" s="166"/>
      <c r="F66" s="166"/>
      <c r="G66" s="167"/>
      <c r="H66" s="165"/>
      <c r="I66" s="167"/>
      <c r="J66" s="167"/>
      <c r="K66" s="13"/>
    </row>
    <row r="67" spans="1:11" s="168" customFormat="1">
      <c r="A67" s="13"/>
      <c r="B67" s="165"/>
      <c r="C67" s="165"/>
      <c r="D67" s="165"/>
      <c r="E67" s="166"/>
      <c r="F67" s="166"/>
      <c r="G67" s="167"/>
      <c r="H67" s="165"/>
      <c r="I67" s="167"/>
      <c r="J67" s="167"/>
      <c r="K67" s="13"/>
    </row>
    <row r="68" spans="1:11" s="168" customFormat="1">
      <c r="A68" s="13"/>
      <c r="B68" s="165"/>
      <c r="C68" s="165"/>
      <c r="D68" s="165"/>
      <c r="E68" s="166"/>
      <c r="F68" s="166"/>
      <c r="G68" s="167"/>
      <c r="H68" s="165"/>
      <c r="I68" s="167"/>
      <c r="J68" s="167"/>
      <c r="K68" s="13"/>
    </row>
    <row r="69" spans="1:11" s="168" customFormat="1">
      <c r="A69" s="13"/>
      <c r="B69" s="165"/>
      <c r="C69" s="165"/>
      <c r="D69" s="165"/>
      <c r="E69" s="166"/>
      <c r="F69" s="166"/>
      <c r="G69" s="167"/>
      <c r="H69" s="165"/>
      <c r="I69" s="167"/>
      <c r="J69" s="167"/>
      <c r="K69" s="13"/>
    </row>
    <row r="70" spans="1:11" s="168" customFormat="1">
      <c r="A70" s="13"/>
      <c r="B70" s="165"/>
      <c r="C70" s="165"/>
      <c r="D70" s="165"/>
      <c r="E70" s="166"/>
      <c r="F70" s="166"/>
      <c r="G70" s="167"/>
      <c r="H70" s="165"/>
      <c r="I70" s="167"/>
      <c r="J70" s="167"/>
      <c r="K70" s="13"/>
    </row>
    <row r="71" spans="1:11" s="168" customFormat="1">
      <c r="A71" s="13"/>
      <c r="B71" s="165"/>
      <c r="C71" s="165"/>
      <c r="D71" s="165"/>
      <c r="E71" s="166"/>
      <c r="F71" s="166"/>
      <c r="G71" s="167"/>
      <c r="H71" s="165"/>
      <c r="I71" s="167"/>
      <c r="J71" s="167"/>
      <c r="K71" s="13"/>
    </row>
    <row r="72" spans="1:11" s="168" customFormat="1">
      <c r="A72" s="13"/>
      <c r="B72" s="165"/>
      <c r="C72" s="165"/>
      <c r="D72" s="165"/>
      <c r="E72" s="166"/>
      <c r="F72" s="166"/>
      <c r="G72" s="167"/>
      <c r="H72" s="165"/>
      <c r="I72" s="167"/>
      <c r="J72" s="167"/>
      <c r="K72" s="13"/>
    </row>
    <row r="73" spans="1:11" s="168" customFormat="1">
      <c r="A73" s="13"/>
      <c r="B73" s="165"/>
      <c r="C73" s="165"/>
      <c r="D73" s="165"/>
      <c r="E73" s="166"/>
      <c r="F73" s="166"/>
      <c r="G73" s="167"/>
      <c r="H73" s="165"/>
      <c r="I73" s="167"/>
      <c r="J73" s="167"/>
      <c r="K73" s="13"/>
    </row>
    <row r="74" spans="1:11" s="168" customFormat="1">
      <c r="A74" s="13"/>
      <c r="B74" s="165"/>
      <c r="C74" s="165"/>
      <c r="D74" s="165"/>
      <c r="E74" s="166"/>
      <c r="F74" s="166"/>
      <c r="G74" s="167"/>
      <c r="H74" s="165"/>
      <c r="I74" s="167"/>
      <c r="J74" s="167"/>
      <c r="K74" s="13"/>
    </row>
    <row r="75" spans="1:11" s="168" customFormat="1">
      <c r="A75" s="13"/>
      <c r="B75" s="165"/>
      <c r="C75" s="165"/>
      <c r="D75" s="165"/>
      <c r="E75" s="166"/>
      <c r="F75" s="166"/>
      <c r="G75" s="167"/>
      <c r="H75" s="165"/>
      <c r="I75" s="167"/>
      <c r="J75" s="167"/>
      <c r="K75" s="13"/>
    </row>
    <row r="76" spans="1:11" s="168" customFormat="1">
      <c r="A76" s="13"/>
      <c r="B76" s="165"/>
      <c r="C76" s="165"/>
      <c r="D76" s="165"/>
      <c r="E76" s="166"/>
      <c r="F76" s="166"/>
      <c r="G76" s="167"/>
      <c r="H76" s="165"/>
      <c r="I76" s="167"/>
      <c r="J76" s="167"/>
      <c r="K76" s="13"/>
    </row>
    <row r="77" spans="1:11" s="168" customFormat="1">
      <c r="A77" s="13"/>
      <c r="B77" s="165"/>
      <c r="C77" s="165"/>
      <c r="D77" s="165"/>
      <c r="E77" s="166"/>
      <c r="F77" s="166"/>
      <c r="G77" s="167"/>
      <c r="H77" s="165"/>
      <c r="I77" s="167"/>
      <c r="J77" s="167"/>
      <c r="K77" s="13"/>
    </row>
    <row r="78" spans="1:11" s="168" customFormat="1">
      <c r="A78" s="13"/>
      <c r="B78" s="165"/>
      <c r="C78" s="165"/>
      <c r="D78" s="165"/>
      <c r="E78" s="166"/>
      <c r="F78" s="166"/>
      <c r="G78" s="167"/>
      <c r="H78" s="165"/>
      <c r="I78" s="167"/>
      <c r="J78" s="167"/>
      <c r="K78" s="13"/>
    </row>
    <row r="79" spans="1:11" s="168" customFormat="1">
      <c r="A79" s="13"/>
      <c r="B79" s="165"/>
      <c r="C79" s="165"/>
      <c r="D79" s="165"/>
      <c r="E79" s="166"/>
      <c r="F79" s="166"/>
      <c r="G79" s="167"/>
      <c r="H79" s="165"/>
      <c r="I79" s="167"/>
      <c r="J79" s="167"/>
      <c r="K79" s="13"/>
    </row>
    <row r="80" spans="1:11" s="168" customFormat="1">
      <c r="A80" s="13"/>
      <c r="B80" s="165"/>
      <c r="C80" s="165"/>
      <c r="D80" s="165"/>
      <c r="E80" s="166"/>
      <c r="F80" s="166"/>
      <c r="G80" s="167"/>
      <c r="H80" s="165"/>
      <c r="I80" s="167"/>
      <c r="J80" s="167"/>
      <c r="K80" s="13"/>
    </row>
    <row r="81" spans="1:11" s="168" customFormat="1">
      <c r="A81" s="13"/>
      <c r="B81" s="165"/>
      <c r="C81" s="165"/>
      <c r="D81" s="165"/>
      <c r="E81" s="166"/>
      <c r="F81" s="166"/>
      <c r="G81" s="167"/>
      <c r="H81" s="165"/>
      <c r="I81" s="167"/>
      <c r="J81" s="167"/>
      <c r="K81" s="13"/>
    </row>
    <row r="82" spans="1:11" s="168" customFormat="1">
      <c r="A82" s="13"/>
      <c r="B82" s="165"/>
      <c r="C82" s="165"/>
      <c r="D82" s="165"/>
      <c r="E82" s="166"/>
      <c r="F82" s="166"/>
      <c r="G82" s="167"/>
      <c r="H82" s="165"/>
      <c r="I82" s="167"/>
      <c r="J82" s="167"/>
      <c r="K82" s="13"/>
    </row>
    <row r="83" spans="1:11" s="168" customFormat="1">
      <c r="A83" s="13"/>
      <c r="B83" s="165"/>
      <c r="C83" s="165"/>
      <c r="D83" s="165"/>
      <c r="E83" s="166"/>
      <c r="F83" s="166"/>
      <c r="G83" s="167"/>
      <c r="H83" s="165"/>
      <c r="I83" s="167"/>
      <c r="J83" s="167"/>
      <c r="K83" s="13"/>
    </row>
    <row r="84" spans="1:11" s="168" customFormat="1">
      <c r="A84" s="13"/>
      <c r="B84" s="165"/>
      <c r="C84" s="165"/>
      <c r="D84" s="165"/>
      <c r="E84" s="166"/>
      <c r="F84" s="166"/>
      <c r="G84" s="167"/>
      <c r="H84" s="165"/>
      <c r="I84" s="167"/>
      <c r="J84" s="167"/>
      <c r="K84" s="13"/>
    </row>
    <row r="85" spans="1:11" s="168" customFormat="1">
      <c r="A85" s="13"/>
      <c r="B85" s="165"/>
      <c r="C85" s="165"/>
      <c r="D85" s="165"/>
      <c r="E85" s="166"/>
      <c r="F85" s="166"/>
      <c r="G85" s="167"/>
      <c r="H85" s="165"/>
      <c r="I85" s="167"/>
      <c r="J85" s="167"/>
      <c r="K85" s="13"/>
    </row>
    <row r="86" spans="1:11" s="168" customFormat="1">
      <c r="A86" s="13"/>
      <c r="B86" s="165"/>
      <c r="C86" s="165"/>
      <c r="D86" s="165"/>
      <c r="E86" s="166"/>
      <c r="F86" s="166"/>
      <c r="G86" s="167"/>
      <c r="H86" s="165"/>
      <c r="I86" s="167"/>
      <c r="J86" s="167"/>
      <c r="K86" s="13"/>
    </row>
    <row r="87" spans="1:11" s="168" customFormat="1">
      <c r="A87" s="13"/>
      <c r="B87" s="165"/>
      <c r="C87" s="165"/>
      <c r="D87" s="165"/>
      <c r="E87" s="166"/>
      <c r="F87" s="166"/>
      <c r="G87" s="167"/>
      <c r="H87" s="165"/>
      <c r="I87" s="167"/>
      <c r="J87" s="167"/>
      <c r="K87" s="13"/>
    </row>
    <row r="88" spans="1:11" s="168" customFormat="1">
      <c r="A88" s="13"/>
      <c r="B88" s="165"/>
      <c r="C88" s="165"/>
      <c r="D88" s="165"/>
      <c r="E88" s="166"/>
      <c r="F88" s="166"/>
      <c r="G88" s="167"/>
      <c r="H88" s="165"/>
      <c r="I88" s="167"/>
      <c r="J88" s="167"/>
      <c r="K88" s="13"/>
    </row>
    <row r="89" spans="1:11" s="168" customFormat="1">
      <c r="A89" s="13"/>
      <c r="B89" s="165"/>
      <c r="C89" s="165"/>
      <c r="D89" s="165"/>
      <c r="E89" s="166"/>
      <c r="F89" s="166"/>
      <c r="G89" s="167"/>
      <c r="H89" s="165"/>
      <c r="I89" s="167"/>
      <c r="J89" s="167"/>
      <c r="K89" s="13"/>
    </row>
    <row r="90" spans="1:11" s="168" customFormat="1">
      <c r="A90" s="13"/>
      <c r="B90" s="165"/>
      <c r="C90" s="165"/>
      <c r="D90" s="165"/>
      <c r="E90" s="166"/>
      <c r="F90" s="166"/>
      <c r="G90" s="167"/>
      <c r="H90" s="165"/>
      <c r="I90" s="167"/>
      <c r="J90" s="167"/>
      <c r="K90" s="13"/>
    </row>
    <row r="91" spans="1:11" s="168" customFormat="1">
      <c r="A91" s="13"/>
      <c r="B91" s="165"/>
      <c r="C91" s="165"/>
      <c r="D91" s="165"/>
      <c r="E91" s="166"/>
      <c r="F91" s="166"/>
      <c r="G91" s="167"/>
      <c r="H91" s="165"/>
      <c r="I91" s="167"/>
      <c r="J91" s="167"/>
      <c r="K91" s="13"/>
    </row>
    <row r="92" spans="1:11" s="168" customFormat="1">
      <c r="A92" s="13"/>
      <c r="B92" s="165"/>
      <c r="C92" s="165"/>
      <c r="D92" s="165"/>
      <c r="E92" s="166"/>
      <c r="F92" s="166"/>
      <c r="G92" s="167"/>
      <c r="H92" s="165"/>
      <c r="I92" s="167"/>
      <c r="J92" s="167"/>
      <c r="K92" s="13"/>
    </row>
    <row r="93" spans="1:11" s="168" customFormat="1">
      <c r="A93" s="13"/>
      <c r="B93" s="165"/>
      <c r="C93" s="165"/>
      <c r="D93" s="165"/>
      <c r="E93" s="166"/>
      <c r="F93" s="166"/>
      <c r="G93" s="167"/>
      <c r="H93" s="165"/>
      <c r="I93" s="167"/>
      <c r="J93" s="167"/>
      <c r="K93" s="13"/>
    </row>
    <row r="94" spans="1:11" s="168" customFormat="1">
      <c r="A94" s="13"/>
      <c r="B94" s="165"/>
      <c r="C94" s="165"/>
      <c r="D94" s="165"/>
      <c r="E94" s="166"/>
      <c r="F94" s="166"/>
      <c r="G94" s="167"/>
      <c r="H94" s="165"/>
      <c r="I94" s="167"/>
      <c r="J94" s="167"/>
      <c r="K94" s="13"/>
    </row>
    <row r="95" spans="1:11" s="168" customFormat="1">
      <c r="A95" s="13"/>
      <c r="B95" s="165"/>
      <c r="C95" s="165"/>
      <c r="D95" s="165"/>
      <c r="E95" s="166"/>
      <c r="F95" s="166"/>
      <c r="G95" s="167"/>
      <c r="H95" s="165"/>
      <c r="I95" s="167"/>
      <c r="J95" s="167"/>
      <c r="K95" s="13"/>
    </row>
    <row r="96" spans="1:11" s="168" customFormat="1">
      <c r="A96" s="13"/>
      <c r="B96" s="165"/>
      <c r="C96" s="165"/>
      <c r="D96" s="165"/>
      <c r="E96" s="166"/>
      <c r="F96" s="166"/>
      <c r="G96" s="167"/>
      <c r="H96" s="165"/>
      <c r="I96" s="167"/>
      <c r="J96" s="167"/>
      <c r="K96" s="13"/>
    </row>
    <row r="97" spans="1:11" s="168" customFormat="1">
      <c r="A97" s="13"/>
      <c r="B97" s="165"/>
      <c r="C97" s="165"/>
      <c r="D97" s="165"/>
      <c r="E97" s="166"/>
      <c r="F97" s="166"/>
      <c r="G97" s="167"/>
      <c r="H97" s="165"/>
      <c r="I97" s="167"/>
      <c r="J97" s="167"/>
      <c r="K97" s="13"/>
    </row>
    <row r="98" spans="1:11" s="168" customFormat="1">
      <c r="A98" s="13"/>
      <c r="B98" s="165"/>
      <c r="C98" s="165"/>
      <c r="D98" s="165"/>
      <c r="E98" s="166"/>
      <c r="F98" s="166"/>
      <c r="G98" s="167"/>
      <c r="H98" s="165"/>
      <c r="I98" s="167"/>
      <c r="J98" s="167"/>
      <c r="K98" s="13"/>
    </row>
    <row r="99" spans="1:11" s="168" customFormat="1">
      <c r="A99" s="13"/>
      <c r="B99" s="165"/>
      <c r="C99" s="165"/>
      <c r="D99" s="165"/>
      <c r="E99" s="166"/>
      <c r="F99" s="166"/>
      <c r="G99" s="167"/>
      <c r="H99" s="165"/>
      <c r="I99" s="167"/>
      <c r="J99" s="167"/>
      <c r="K99" s="13"/>
    </row>
    <row r="100" spans="1:11" s="168" customFormat="1">
      <c r="A100" s="13"/>
      <c r="B100" s="165"/>
      <c r="C100" s="165"/>
      <c r="D100" s="165"/>
      <c r="E100" s="166"/>
      <c r="F100" s="166"/>
      <c r="G100" s="167"/>
      <c r="H100" s="165"/>
      <c r="I100" s="167"/>
      <c r="J100" s="167"/>
      <c r="K100" s="13"/>
    </row>
    <row r="101" spans="1:11" s="168" customFormat="1">
      <c r="A101" s="13"/>
      <c r="B101" s="165"/>
      <c r="C101" s="165"/>
      <c r="D101" s="165"/>
      <c r="E101" s="166"/>
      <c r="F101" s="166"/>
      <c r="G101" s="167"/>
      <c r="H101" s="165"/>
      <c r="I101" s="167"/>
      <c r="J101" s="167"/>
      <c r="K101" s="13"/>
    </row>
    <row r="102" spans="1:11" s="168" customFormat="1">
      <c r="A102" s="13"/>
      <c r="B102" s="165"/>
      <c r="C102" s="165"/>
      <c r="D102" s="165"/>
      <c r="E102" s="166"/>
      <c r="F102" s="166"/>
      <c r="G102" s="167"/>
      <c r="H102" s="165"/>
      <c r="I102" s="167"/>
      <c r="J102" s="167"/>
      <c r="K102" s="13"/>
    </row>
    <row r="103" spans="1:11" s="168" customFormat="1">
      <c r="A103" s="13"/>
      <c r="B103" s="165"/>
      <c r="C103" s="165"/>
      <c r="D103" s="165"/>
      <c r="E103" s="166"/>
      <c r="F103" s="166"/>
      <c r="G103" s="167"/>
      <c r="H103" s="165"/>
      <c r="I103" s="167"/>
      <c r="J103" s="167"/>
      <c r="K103" s="13"/>
    </row>
    <row r="104" spans="1:11" s="168" customFormat="1">
      <c r="A104" s="13"/>
      <c r="B104" s="165"/>
      <c r="C104" s="165"/>
      <c r="D104" s="165"/>
      <c r="E104" s="166"/>
      <c r="F104" s="166"/>
      <c r="G104" s="167"/>
      <c r="H104" s="165"/>
      <c r="I104" s="167"/>
      <c r="J104" s="167"/>
      <c r="K104" s="13"/>
    </row>
    <row r="105" spans="1:11" s="168" customFormat="1">
      <c r="A105" s="13"/>
      <c r="B105" s="165"/>
      <c r="C105" s="165"/>
      <c r="D105" s="169"/>
      <c r="E105" s="170"/>
      <c r="F105" s="170"/>
      <c r="G105" s="171"/>
      <c r="H105" s="165"/>
      <c r="I105" s="167"/>
      <c r="J105" s="167"/>
      <c r="K105" s="13"/>
    </row>
    <row r="106" spans="1:11" s="168" customFormat="1">
      <c r="A106" s="13"/>
      <c r="B106" s="165"/>
      <c r="C106" s="165"/>
      <c r="D106" s="169"/>
      <c r="E106" s="170"/>
      <c r="F106" s="170"/>
      <c r="G106" s="171"/>
      <c r="H106" s="165"/>
      <c r="I106" s="167"/>
      <c r="J106" s="167"/>
      <c r="K106" s="13"/>
    </row>
    <row r="107" spans="1:11" s="168" customFormat="1">
      <c r="A107" s="13"/>
      <c r="B107" s="165"/>
      <c r="C107" s="165"/>
      <c r="D107" s="165"/>
      <c r="E107" s="166"/>
      <c r="F107" s="166"/>
      <c r="G107" s="167"/>
      <c r="H107" s="165"/>
      <c r="I107" s="167"/>
      <c r="J107" s="167"/>
      <c r="K107" s="13"/>
    </row>
    <row r="108" spans="1:11" s="168" customFormat="1">
      <c r="A108" s="13"/>
      <c r="B108" s="165"/>
      <c r="C108" s="165"/>
      <c r="D108" s="165"/>
      <c r="E108" s="166"/>
      <c r="F108" s="166"/>
      <c r="G108" s="167"/>
      <c r="H108" s="165"/>
      <c r="I108" s="167"/>
      <c r="J108" s="167"/>
      <c r="K108" s="13"/>
    </row>
    <row r="109" spans="1:11" s="13" customFormat="1">
      <c r="B109" s="165"/>
      <c r="C109" s="165"/>
      <c r="D109" s="165"/>
      <c r="E109" s="166"/>
      <c r="F109" s="166"/>
      <c r="G109" s="167"/>
      <c r="H109" s="165"/>
      <c r="I109" s="167"/>
      <c r="J109" s="167"/>
    </row>
    <row r="110" spans="1:11">
      <c r="A110" s="13"/>
      <c r="B110" s="165"/>
      <c r="C110" s="165"/>
      <c r="D110" s="165"/>
      <c r="E110" s="166"/>
      <c r="F110" s="166"/>
      <c r="G110" s="167"/>
      <c r="H110" s="165"/>
      <c r="I110" s="167"/>
      <c r="J110" s="167"/>
      <c r="K110" s="13"/>
    </row>
    <row r="111" spans="1:11">
      <c r="A111" s="13"/>
      <c r="B111" s="165"/>
      <c r="C111" s="165"/>
      <c r="D111" s="165"/>
      <c r="E111" s="166"/>
      <c r="F111" s="166"/>
      <c r="G111" s="167"/>
      <c r="H111" s="165"/>
      <c r="I111" s="167"/>
      <c r="J111" s="167"/>
      <c r="K111" s="13"/>
    </row>
    <row r="112" spans="1:11">
      <c r="A112" s="13"/>
      <c r="B112" s="165"/>
      <c r="C112" s="165"/>
      <c r="D112" s="165"/>
      <c r="E112" s="166"/>
      <c r="F112" s="166"/>
      <c r="G112" s="167"/>
      <c r="H112" s="165"/>
      <c r="I112" s="167"/>
      <c r="J112" s="167"/>
      <c r="K112" s="13"/>
    </row>
    <row r="113" spans="1:11">
      <c r="A113" s="13"/>
      <c r="B113" s="165"/>
      <c r="C113" s="165"/>
      <c r="D113" s="165"/>
      <c r="E113" s="166"/>
      <c r="F113" s="166"/>
      <c r="G113" s="167"/>
      <c r="H113" s="165"/>
      <c r="I113" s="167"/>
      <c r="J113" s="167"/>
      <c r="K113" s="13"/>
    </row>
    <row r="114" spans="1:11">
      <c r="A114" s="13"/>
      <c r="B114" s="165"/>
      <c r="C114" s="165"/>
      <c r="D114" s="165"/>
      <c r="E114" s="166"/>
      <c r="F114" s="166"/>
      <c r="G114" s="167"/>
      <c r="H114" s="165"/>
      <c r="I114" s="167"/>
      <c r="J114" s="167"/>
      <c r="K114" s="13"/>
    </row>
    <row r="115" spans="1:11">
      <c r="A115" s="13"/>
      <c r="B115" s="165"/>
      <c r="C115" s="165"/>
      <c r="D115" s="165"/>
      <c r="E115" s="166"/>
      <c r="F115" s="166"/>
      <c r="G115" s="167"/>
      <c r="H115" s="165"/>
      <c r="I115" s="167"/>
      <c r="J115" s="167"/>
      <c r="K115" s="13"/>
    </row>
    <row r="116" spans="1:11">
      <c r="A116" s="13"/>
      <c r="B116" s="165"/>
      <c r="C116" s="165"/>
      <c r="D116" s="165"/>
      <c r="E116" s="166"/>
      <c r="F116" s="166"/>
      <c r="G116" s="167"/>
      <c r="H116" s="165"/>
      <c r="I116" s="167"/>
      <c r="J116" s="167"/>
      <c r="K116" s="13"/>
    </row>
    <row r="117" spans="1:11">
      <c r="A117" s="13"/>
      <c r="B117" s="165"/>
      <c r="C117" s="165"/>
      <c r="D117" s="165"/>
      <c r="E117" s="166"/>
      <c r="F117" s="166"/>
      <c r="G117" s="167"/>
      <c r="H117" s="165"/>
      <c r="I117" s="167"/>
      <c r="J117" s="167"/>
      <c r="K117" s="13"/>
    </row>
    <row r="118" spans="1:11">
      <c r="A118" s="13"/>
      <c r="B118" s="165"/>
      <c r="C118" s="165"/>
      <c r="D118" s="165"/>
      <c r="E118" s="166"/>
      <c r="F118" s="166"/>
      <c r="G118" s="167"/>
      <c r="H118" s="165"/>
      <c r="I118" s="167"/>
      <c r="J118" s="167"/>
      <c r="K118" s="13"/>
    </row>
    <row r="119" spans="1:11">
      <c r="A119" s="13"/>
      <c r="B119" s="165"/>
      <c r="C119" s="165"/>
      <c r="D119" s="165"/>
      <c r="E119" s="166"/>
      <c r="F119" s="166"/>
      <c r="G119" s="167"/>
      <c r="H119" s="165"/>
      <c r="I119" s="167"/>
      <c r="J119" s="167"/>
      <c r="K119" s="13"/>
    </row>
    <row r="120" spans="1:11">
      <c r="A120" s="13"/>
      <c r="B120" s="165"/>
      <c r="C120" s="165"/>
      <c r="D120" s="165"/>
      <c r="E120" s="166"/>
      <c r="F120" s="166"/>
      <c r="G120" s="167"/>
      <c r="H120" s="165"/>
      <c r="I120" s="167"/>
      <c r="J120" s="167"/>
      <c r="K120" s="13"/>
    </row>
    <row r="121" spans="1:11">
      <c r="A121" s="13"/>
      <c r="B121" s="165"/>
      <c r="C121" s="165"/>
      <c r="D121" s="165"/>
      <c r="E121" s="166"/>
      <c r="F121" s="166"/>
      <c r="G121" s="167"/>
      <c r="H121" s="165"/>
      <c r="I121" s="167"/>
      <c r="J121" s="167"/>
      <c r="K121" s="13"/>
    </row>
    <row r="122" spans="1:11">
      <c r="A122" s="13"/>
      <c r="B122" s="165"/>
      <c r="C122" s="165"/>
      <c r="D122" s="165"/>
      <c r="E122" s="166"/>
      <c r="F122" s="166"/>
      <c r="G122" s="167"/>
      <c r="H122" s="165"/>
      <c r="I122" s="167"/>
      <c r="J122" s="167"/>
      <c r="K122" s="13"/>
    </row>
    <row r="123" spans="1:11">
      <c r="A123" s="13"/>
      <c r="B123" s="165"/>
      <c r="C123" s="165"/>
      <c r="D123" s="165"/>
      <c r="E123" s="166"/>
      <c r="F123" s="166"/>
      <c r="G123" s="167"/>
      <c r="H123" s="165"/>
      <c r="I123" s="167"/>
      <c r="J123" s="167"/>
      <c r="K123" s="13"/>
    </row>
    <row r="124" spans="1:11">
      <c r="A124" s="13"/>
      <c r="B124" s="165"/>
      <c r="C124" s="165"/>
      <c r="D124" s="165"/>
      <c r="E124" s="166"/>
      <c r="F124" s="166"/>
      <c r="G124" s="167"/>
      <c r="H124" s="165"/>
      <c r="I124" s="167"/>
      <c r="J124" s="167"/>
      <c r="K124" s="13"/>
    </row>
    <row r="125" spans="1:11">
      <c r="A125" s="13"/>
      <c r="B125" s="165"/>
      <c r="C125" s="165"/>
      <c r="D125" s="165"/>
      <c r="E125" s="166"/>
      <c r="F125" s="166"/>
      <c r="G125" s="167"/>
      <c r="H125" s="165"/>
      <c r="I125" s="167"/>
      <c r="J125" s="167"/>
      <c r="K125" s="13"/>
    </row>
    <row r="126" spans="1:11">
      <c r="A126" s="13"/>
      <c r="B126" s="165"/>
      <c r="C126" s="165"/>
      <c r="D126" s="165"/>
      <c r="E126" s="166"/>
      <c r="F126" s="166"/>
      <c r="G126" s="167"/>
      <c r="H126" s="165"/>
      <c r="I126" s="167"/>
      <c r="J126" s="167"/>
      <c r="K126" s="13"/>
    </row>
    <row r="127" spans="1:11">
      <c r="A127" s="13"/>
      <c r="B127" s="165"/>
      <c r="C127" s="165"/>
      <c r="D127" s="165"/>
      <c r="E127" s="166"/>
      <c r="F127" s="166"/>
      <c r="G127" s="167"/>
      <c r="H127" s="165"/>
      <c r="I127" s="167"/>
      <c r="J127" s="167"/>
      <c r="K127" s="13"/>
    </row>
    <row r="128" spans="1:11">
      <c r="A128" s="13"/>
      <c r="B128" s="165"/>
      <c r="C128" s="165"/>
      <c r="D128" s="165"/>
      <c r="E128" s="166"/>
      <c r="F128" s="166"/>
      <c r="G128" s="167"/>
      <c r="H128" s="165"/>
      <c r="I128" s="167"/>
      <c r="J128" s="167"/>
      <c r="K128" s="13"/>
    </row>
    <row r="129" spans="1:11">
      <c r="A129" s="13"/>
      <c r="B129" s="165"/>
      <c r="C129" s="165"/>
      <c r="D129" s="165"/>
      <c r="E129" s="166"/>
      <c r="F129" s="166"/>
      <c r="G129" s="167"/>
      <c r="H129" s="165"/>
      <c r="I129" s="167"/>
      <c r="J129" s="167"/>
      <c r="K129" s="13"/>
    </row>
    <row r="130" spans="1:11">
      <c r="A130" s="13"/>
      <c r="B130" s="165"/>
      <c r="C130" s="165"/>
      <c r="D130" s="165"/>
      <c r="E130" s="166"/>
      <c r="F130" s="166"/>
      <c r="G130" s="167"/>
      <c r="H130" s="165"/>
      <c r="I130" s="167"/>
      <c r="J130" s="167"/>
      <c r="K130" s="13"/>
    </row>
    <row r="131" spans="1:11">
      <c r="A131" s="13"/>
      <c r="B131" s="165"/>
      <c r="C131" s="165"/>
      <c r="D131" s="165"/>
      <c r="E131" s="166"/>
      <c r="F131" s="166"/>
      <c r="G131" s="167"/>
      <c r="H131" s="165"/>
      <c r="I131" s="167"/>
      <c r="J131" s="167"/>
      <c r="K131" s="13"/>
    </row>
    <row r="132" spans="1:11">
      <c r="A132" s="13"/>
      <c r="B132" s="165"/>
      <c r="C132" s="165"/>
      <c r="D132" s="165"/>
      <c r="E132" s="166"/>
      <c r="F132" s="166"/>
      <c r="G132" s="167"/>
      <c r="H132" s="165"/>
      <c r="I132" s="167"/>
      <c r="J132" s="167"/>
      <c r="K132" s="13"/>
    </row>
    <row r="133" spans="1:11">
      <c r="A133" s="13"/>
      <c r="B133" s="165"/>
      <c r="C133" s="165"/>
      <c r="D133" s="165"/>
      <c r="E133" s="166"/>
      <c r="F133" s="166"/>
      <c r="G133" s="167"/>
      <c r="H133" s="165"/>
      <c r="I133" s="167"/>
      <c r="J133" s="167"/>
      <c r="K133" s="13"/>
    </row>
    <row r="134" spans="1:11">
      <c r="A134" s="13"/>
      <c r="B134" s="165"/>
      <c r="C134" s="165"/>
      <c r="D134" s="165"/>
      <c r="E134" s="166"/>
      <c r="F134" s="166"/>
      <c r="G134" s="167"/>
      <c r="H134" s="165"/>
      <c r="I134" s="167"/>
      <c r="J134" s="167"/>
      <c r="K134" s="13"/>
    </row>
    <row r="135" spans="1:11">
      <c r="A135" s="13"/>
      <c r="B135" s="165"/>
      <c r="C135" s="165"/>
      <c r="D135" s="165"/>
      <c r="E135" s="166"/>
      <c r="F135" s="166"/>
      <c r="G135" s="167"/>
      <c r="H135" s="165"/>
      <c r="I135" s="167"/>
      <c r="J135" s="167"/>
      <c r="K135" s="13"/>
    </row>
    <row r="136" spans="1:11">
      <c r="A136" s="13"/>
      <c r="B136" s="165"/>
      <c r="C136" s="165"/>
      <c r="D136" s="165"/>
      <c r="E136" s="166"/>
      <c r="F136" s="166"/>
      <c r="G136" s="167"/>
      <c r="H136" s="165"/>
      <c r="I136" s="167"/>
      <c r="J136" s="167"/>
      <c r="K136" s="13"/>
    </row>
    <row r="137" spans="1:11">
      <c r="A137" s="13"/>
      <c r="B137" s="165"/>
      <c r="C137" s="165"/>
      <c r="D137" s="165"/>
      <c r="E137" s="166"/>
      <c r="F137" s="166"/>
      <c r="G137" s="167"/>
      <c r="H137" s="165"/>
      <c r="I137" s="167"/>
      <c r="J137" s="167"/>
      <c r="K137" s="13"/>
    </row>
    <row r="138" spans="1:11">
      <c r="A138" s="13"/>
      <c r="B138" s="165"/>
      <c r="C138" s="165"/>
      <c r="D138" s="165"/>
      <c r="E138" s="166"/>
      <c r="F138" s="166"/>
      <c r="G138" s="167"/>
      <c r="H138" s="165"/>
      <c r="I138" s="167"/>
      <c r="J138" s="167"/>
      <c r="K138" s="13"/>
    </row>
    <row r="139" spans="1:11">
      <c r="A139" s="13"/>
      <c r="B139" s="165"/>
      <c r="C139" s="165"/>
      <c r="D139" s="165"/>
      <c r="E139" s="166"/>
      <c r="F139" s="166"/>
      <c r="G139" s="167"/>
      <c r="H139" s="165"/>
      <c r="I139" s="167"/>
      <c r="J139" s="167"/>
      <c r="K139" s="13"/>
    </row>
    <row r="140" spans="1:11">
      <c r="A140" s="13"/>
      <c r="B140" s="165"/>
      <c r="C140" s="165"/>
      <c r="D140" s="165"/>
      <c r="E140" s="166"/>
      <c r="F140" s="166"/>
      <c r="G140" s="167"/>
      <c r="H140" s="165"/>
      <c r="I140" s="167"/>
      <c r="J140" s="167"/>
      <c r="K140" s="13"/>
    </row>
    <row r="141" spans="1:11">
      <c r="A141" s="13"/>
      <c r="B141" s="165"/>
      <c r="C141" s="165"/>
      <c r="D141" s="165"/>
      <c r="E141" s="166"/>
      <c r="F141" s="166"/>
      <c r="G141" s="167"/>
      <c r="H141" s="165"/>
      <c r="I141" s="167"/>
      <c r="J141" s="167"/>
      <c r="K141" s="13"/>
    </row>
    <row r="142" spans="1:11">
      <c r="A142" s="13"/>
      <c r="B142" s="165"/>
      <c r="C142" s="165"/>
      <c r="D142" s="165"/>
      <c r="E142" s="166"/>
      <c r="F142" s="166"/>
      <c r="G142" s="167"/>
      <c r="H142" s="165"/>
      <c r="I142" s="167"/>
      <c r="J142" s="167"/>
      <c r="K142" s="13"/>
    </row>
    <row r="143" spans="1:11">
      <c r="A143" s="13"/>
      <c r="B143" s="165"/>
      <c r="C143" s="165"/>
      <c r="D143" s="165"/>
      <c r="E143" s="166"/>
      <c r="F143" s="166"/>
      <c r="G143" s="167"/>
      <c r="H143" s="165"/>
      <c r="I143" s="167"/>
      <c r="J143" s="167"/>
      <c r="K143" s="13"/>
    </row>
    <row r="144" spans="1:11">
      <c r="A144" s="13"/>
      <c r="B144" s="165"/>
      <c r="C144" s="165"/>
      <c r="D144" s="165"/>
      <c r="E144" s="166"/>
      <c r="F144" s="166"/>
      <c r="G144" s="167"/>
      <c r="H144" s="165"/>
      <c r="I144" s="167"/>
      <c r="J144" s="167"/>
      <c r="K144" s="13"/>
    </row>
    <row r="145" spans="1:11">
      <c r="A145" s="13"/>
      <c r="B145" s="165"/>
      <c r="C145" s="165"/>
      <c r="D145" s="165"/>
      <c r="E145" s="166"/>
      <c r="F145" s="166"/>
      <c r="G145" s="167"/>
      <c r="H145" s="165"/>
      <c r="I145" s="167"/>
      <c r="J145" s="167"/>
      <c r="K145" s="13"/>
    </row>
    <row r="146" spans="1:11">
      <c r="A146" s="13"/>
      <c r="B146" s="165"/>
      <c r="C146" s="165"/>
      <c r="D146" s="165"/>
      <c r="E146" s="166"/>
      <c r="F146" s="166"/>
      <c r="G146" s="167"/>
      <c r="H146" s="165"/>
      <c r="I146" s="167"/>
      <c r="J146" s="167"/>
      <c r="K146" s="13"/>
    </row>
    <row r="147" spans="1:11">
      <c r="A147" s="13"/>
      <c r="B147" s="165"/>
      <c r="C147" s="165"/>
      <c r="D147" s="165"/>
      <c r="E147" s="166"/>
      <c r="F147" s="166"/>
      <c r="G147" s="167"/>
      <c r="H147" s="165"/>
      <c r="I147" s="167"/>
      <c r="J147" s="167"/>
      <c r="K147" s="13"/>
    </row>
    <row r="148" spans="1:11">
      <c r="A148" s="13"/>
      <c r="B148" s="165"/>
      <c r="C148" s="165"/>
      <c r="D148" s="165"/>
      <c r="E148" s="166"/>
      <c r="F148" s="166"/>
      <c r="G148" s="167"/>
      <c r="H148" s="165"/>
      <c r="I148" s="167"/>
      <c r="J148" s="167"/>
      <c r="K148" s="13"/>
    </row>
    <row r="149" spans="1:11">
      <c r="A149" s="13"/>
      <c r="B149" s="165"/>
      <c r="C149" s="165"/>
      <c r="D149" s="165"/>
      <c r="E149" s="166"/>
      <c r="F149" s="166"/>
      <c r="G149" s="167"/>
      <c r="H149" s="165"/>
      <c r="I149" s="167"/>
      <c r="J149" s="167"/>
      <c r="K149" s="13"/>
    </row>
    <row r="150" spans="1:11">
      <c r="A150" s="13"/>
      <c r="B150" s="165"/>
      <c r="C150" s="165"/>
      <c r="D150" s="165"/>
      <c r="E150" s="166"/>
      <c r="F150" s="166"/>
      <c r="G150" s="167"/>
      <c r="H150" s="165"/>
      <c r="I150" s="167"/>
      <c r="J150" s="167"/>
      <c r="K150" s="13"/>
    </row>
    <row r="151" spans="1:11">
      <c r="A151" s="13"/>
      <c r="B151" s="165"/>
      <c r="C151" s="165"/>
      <c r="D151" s="165"/>
      <c r="E151" s="166"/>
      <c r="F151" s="166"/>
      <c r="G151" s="167"/>
      <c r="H151" s="165"/>
      <c r="I151" s="167"/>
      <c r="J151" s="167"/>
      <c r="K151" s="13"/>
    </row>
    <row r="152" spans="1:11">
      <c r="A152" s="13"/>
      <c r="B152" s="165"/>
      <c r="C152" s="165"/>
      <c r="D152" s="165"/>
      <c r="E152" s="166"/>
      <c r="F152" s="166"/>
      <c r="G152" s="167"/>
      <c r="H152" s="165"/>
      <c r="I152" s="167"/>
      <c r="J152" s="167"/>
      <c r="K152" s="13"/>
    </row>
    <row r="153" spans="1:11">
      <c r="A153" s="13"/>
      <c r="B153" s="165"/>
      <c r="C153" s="165"/>
      <c r="D153" s="165"/>
      <c r="E153" s="166"/>
      <c r="F153" s="166"/>
      <c r="G153" s="167"/>
      <c r="H153" s="165"/>
      <c r="I153" s="167"/>
      <c r="J153" s="167"/>
      <c r="K153" s="13"/>
    </row>
    <row r="154" spans="1:11">
      <c r="A154" s="13"/>
      <c r="B154" s="165"/>
      <c r="C154" s="165"/>
      <c r="D154" s="165"/>
      <c r="E154" s="166"/>
      <c r="F154" s="166"/>
      <c r="G154" s="167"/>
      <c r="H154" s="165"/>
      <c r="I154" s="167"/>
      <c r="J154" s="167"/>
      <c r="K154" s="13"/>
    </row>
    <row r="155" spans="1:11">
      <c r="A155" s="13"/>
      <c r="B155" s="165"/>
      <c r="C155" s="165"/>
      <c r="D155" s="165"/>
      <c r="E155" s="166"/>
      <c r="F155" s="166"/>
      <c r="G155" s="167"/>
      <c r="H155" s="165"/>
      <c r="I155" s="167"/>
      <c r="J155" s="167"/>
      <c r="K155" s="13"/>
    </row>
    <row r="156" spans="1:11">
      <c r="A156" s="13"/>
      <c r="B156" s="165"/>
      <c r="C156" s="165"/>
      <c r="D156" s="165"/>
      <c r="E156" s="166"/>
      <c r="F156" s="166"/>
      <c r="G156" s="167"/>
      <c r="H156" s="165"/>
      <c r="I156" s="167"/>
      <c r="J156" s="167"/>
      <c r="K156" s="13"/>
    </row>
    <row r="157" spans="1:11">
      <c r="A157" s="13"/>
      <c r="B157" s="165"/>
      <c r="C157" s="165"/>
      <c r="D157" s="165"/>
      <c r="E157" s="166"/>
      <c r="F157" s="166"/>
      <c r="G157" s="167"/>
      <c r="H157" s="165"/>
      <c r="I157" s="167"/>
      <c r="J157" s="167"/>
      <c r="K157" s="13"/>
    </row>
    <row r="158" spans="1:11">
      <c r="A158" s="13"/>
      <c r="B158" s="165"/>
      <c r="C158" s="165"/>
      <c r="D158" s="165"/>
      <c r="E158" s="166"/>
      <c r="F158" s="166"/>
      <c r="G158" s="167"/>
      <c r="H158" s="165"/>
      <c r="I158" s="167"/>
      <c r="J158" s="167"/>
      <c r="K158" s="13"/>
    </row>
    <row r="159" spans="1:11">
      <c r="A159" s="13"/>
      <c r="B159" s="165"/>
      <c r="C159" s="165"/>
      <c r="D159" s="165"/>
      <c r="E159" s="166"/>
      <c r="F159" s="166"/>
      <c r="G159" s="167"/>
      <c r="H159" s="165"/>
      <c r="I159" s="167"/>
      <c r="J159" s="167"/>
      <c r="K159" s="13"/>
    </row>
    <row r="160" spans="1:11">
      <c r="A160" s="13"/>
      <c r="B160" s="165"/>
      <c r="C160" s="165"/>
      <c r="D160" s="165"/>
      <c r="E160" s="166"/>
      <c r="F160" s="166"/>
      <c r="G160" s="167"/>
      <c r="H160" s="165"/>
      <c r="I160" s="167"/>
      <c r="J160" s="167"/>
      <c r="K160" s="13"/>
    </row>
    <row r="161" spans="1:11">
      <c r="A161" s="13"/>
      <c r="B161" s="165"/>
      <c r="C161" s="165"/>
      <c r="D161" s="165"/>
      <c r="E161" s="166"/>
      <c r="F161" s="166"/>
      <c r="G161" s="167"/>
      <c r="H161" s="165"/>
      <c r="I161" s="167"/>
      <c r="J161" s="167"/>
      <c r="K161" s="13"/>
    </row>
    <row r="162" spans="1:11">
      <c r="A162" s="13"/>
      <c r="B162" s="165"/>
      <c r="C162" s="165"/>
      <c r="D162" s="165"/>
      <c r="E162" s="166"/>
      <c r="F162" s="166"/>
      <c r="G162" s="167"/>
      <c r="H162" s="165"/>
      <c r="I162" s="167"/>
      <c r="J162" s="167"/>
      <c r="K162" s="13"/>
    </row>
    <row r="163" spans="1:11">
      <c r="A163" s="13"/>
      <c r="B163" s="165"/>
      <c r="C163" s="165"/>
      <c r="D163" s="165"/>
      <c r="E163" s="166"/>
      <c r="F163" s="166"/>
      <c r="G163" s="167"/>
      <c r="H163" s="165"/>
      <c r="I163" s="167"/>
      <c r="J163" s="167"/>
      <c r="K163" s="13"/>
    </row>
    <row r="164" spans="1:11">
      <c r="A164" s="13"/>
      <c r="B164" s="165"/>
      <c r="C164" s="165"/>
      <c r="D164" s="165"/>
      <c r="E164" s="166"/>
      <c r="F164" s="166"/>
      <c r="G164" s="167"/>
      <c r="H164" s="165"/>
      <c r="I164" s="167"/>
      <c r="J164" s="167"/>
      <c r="K164" s="13"/>
    </row>
    <row r="165" spans="1:11">
      <c r="A165" s="13"/>
      <c r="B165" s="165"/>
      <c r="C165" s="165"/>
      <c r="D165" s="165"/>
      <c r="E165" s="166"/>
      <c r="F165" s="166"/>
      <c r="G165" s="167"/>
      <c r="H165" s="165"/>
      <c r="I165" s="167"/>
      <c r="J165" s="167"/>
      <c r="K165" s="13"/>
    </row>
    <row r="166" spans="1:11">
      <c r="A166" s="13"/>
      <c r="B166" s="165"/>
      <c r="C166" s="165"/>
      <c r="D166" s="165"/>
      <c r="E166" s="166"/>
      <c r="F166" s="166"/>
      <c r="G166" s="167"/>
      <c r="H166" s="165"/>
      <c r="I166" s="167"/>
      <c r="J166" s="167"/>
      <c r="K166" s="13"/>
    </row>
    <row r="167" spans="1:11">
      <c r="A167" s="13"/>
      <c r="B167" s="165"/>
      <c r="C167" s="165"/>
      <c r="D167" s="165"/>
      <c r="E167" s="166"/>
      <c r="F167" s="166"/>
      <c r="G167" s="167"/>
      <c r="H167" s="165"/>
      <c r="I167" s="167"/>
      <c r="J167" s="167"/>
      <c r="K167" s="13"/>
    </row>
    <row r="168" spans="1:11">
      <c r="A168" s="13"/>
      <c r="B168" s="165"/>
      <c r="C168" s="165"/>
      <c r="D168" s="165"/>
      <c r="E168" s="166"/>
      <c r="F168" s="166"/>
      <c r="G168" s="167"/>
      <c r="H168" s="165"/>
      <c r="I168" s="167"/>
      <c r="J168" s="167"/>
      <c r="K168" s="13"/>
    </row>
    <row r="169" spans="1:11">
      <c r="A169" s="13"/>
      <c r="B169" s="165"/>
      <c r="C169" s="165"/>
      <c r="D169" s="165"/>
      <c r="E169" s="166"/>
      <c r="F169" s="166"/>
      <c r="G169" s="167"/>
      <c r="H169" s="165"/>
      <c r="I169" s="167"/>
      <c r="J169" s="167"/>
      <c r="K169" s="13"/>
    </row>
    <row r="170" spans="1:11">
      <c r="A170" s="13"/>
      <c r="B170" s="165"/>
      <c r="C170" s="165"/>
      <c r="D170" s="165"/>
      <c r="E170" s="166"/>
      <c r="F170" s="166"/>
      <c r="G170" s="167"/>
      <c r="H170" s="165"/>
      <c r="I170" s="167"/>
      <c r="J170" s="167"/>
      <c r="K170" s="13"/>
    </row>
    <row r="171" spans="1:11">
      <c r="A171" s="13"/>
      <c r="B171" s="165"/>
      <c r="C171" s="165"/>
      <c r="D171" s="165"/>
      <c r="E171" s="166"/>
      <c r="F171" s="166"/>
      <c r="G171" s="167"/>
      <c r="H171" s="165"/>
      <c r="I171" s="167"/>
      <c r="J171" s="167"/>
      <c r="K171" s="13"/>
    </row>
    <row r="172" spans="1:11">
      <c r="A172" s="13"/>
      <c r="B172" s="165"/>
      <c r="C172" s="165"/>
      <c r="D172" s="165"/>
      <c r="E172" s="166"/>
      <c r="F172" s="166"/>
      <c r="G172" s="167"/>
      <c r="H172" s="165"/>
      <c r="I172" s="167"/>
      <c r="J172" s="167"/>
      <c r="K172" s="13"/>
    </row>
    <row r="173" spans="1:11">
      <c r="A173" s="13"/>
      <c r="B173" s="165"/>
      <c r="C173" s="165"/>
      <c r="D173" s="165"/>
      <c r="E173" s="166"/>
      <c r="F173" s="166"/>
      <c r="G173" s="167"/>
      <c r="H173" s="165"/>
      <c r="I173" s="167"/>
      <c r="J173" s="167"/>
      <c r="K173" s="13"/>
    </row>
    <row r="174" spans="1:11">
      <c r="A174" s="13"/>
      <c r="B174" s="165"/>
      <c r="C174" s="165"/>
      <c r="D174" s="165"/>
      <c r="E174" s="166"/>
      <c r="F174" s="166"/>
      <c r="G174" s="167"/>
      <c r="H174" s="165"/>
      <c r="I174" s="167"/>
      <c r="J174" s="167"/>
      <c r="K174" s="13"/>
    </row>
    <row r="175" spans="1:11">
      <c r="A175" s="13"/>
      <c r="B175" s="165"/>
      <c r="C175" s="165"/>
      <c r="D175" s="165"/>
      <c r="E175" s="166"/>
      <c r="F175" s="166"/>
      <c r="G175" s="167"/>
      <c r="H175" s="165"/>
      <c r="I175" s="167"/>
      <c r="J175" s="167"/>
      <c r="K175" s="13"/>
    </row>
    <row r="176" spans="1:11">
      <c r="A176" s="13"/>
      <c r="B176" s="165"/>
      <c r="C176" s="165"/>
      <c r="D176" s="165"/>
      <c r="E176" s="166"/>
      <c r="F176" s="166"/>
      <c r="G176" s="167"/>
      <c r="H176" s="165"/>
      <c r="I176" s="167"/>
      <c r="J176" s="167"/>
      <c r="K176" s="13"/>
    </row>
    <row r="177" spans="1:11">
      <c r="A177" s="13"/>
      <c r="B177" s="165"/>
      <c r="C177" s="165"/>
      <c r="D177" s="165"/>
      <c r="E177" s="166"/>
      <c r="F177" s="166"/>
      <c r="G177" s="167"/>
      <c r="H177" s="165"/>
      <c r="I177" s="167"/>
      <c r="J177" s="167"/>
      <c r="K177" s="13"/>
    </row>
    <row r="178" spans="1:11">
      <c r="A178" s="13"/>
      <c r="B178" s="165"/>
      <c r="C178" s="165"/>
      <c r="D178" s="165"/>
      <c r="E178" s="166"/>
      <c r="F178" s="166"/>
      <c r="G178" s="167"/>
      <c r="H178" s="165"/>
      <c r="I178" s="167"/>
      <c r="J178" s="167"/>
      <c r="K178" s="13"/>
    </row>
    <row r="179" spans="1:11">
      <c r="A179" s="13"/>
      <c r="B179" s="165"/>
      <c r="C179" s="165"/>
      <c r="D179" s="165"/>
      <c r="E179" s="166"/>
      <c r="F179" s="166"/>
      <c r="G179" s="167"/>
      <c r="H179" s="165"/>
      <c r="I179" s="167"/>
      <c r="J179" s="167"/>
      <c r="K179" s="13"/>
    </row>
    <row r="180" spans="1:11">
      <c r="A180" s="13"/>
      <c r="B180" s="165"/>
      <c r="C180" s="165"/>
      <c r="D180" s="165"/>
      <c r="E180" s="166"/>
      <c r="F180" s="166"/>
      <c r="G180" s="167"/>
      <c r="H180" s="165"/>
      <c r="I180" s="167"/>
      <c r="J180" s="167"/>
      <c r="K180" s="13"/>
    </row>
    <row r="181" spans="1:11">
      <c r="A181" s="13"/>
      <c r="B181" s="165"/>
      <c r="C181" s="165"/>
      <c r="D181" s="165"/>
      <c r="E181" s="166"/>
      <c r="F181" s="166"/>
      <c r="G181" s="167"/>
      <c r="H181" s="165"/>
      <c r="I181" s="167"/>
      <c r="J181" s="167"/>
      <c r="K181" s="13"/>
    </row>
    <row r="182" spans="1:11">
      <c r="A182" s="13"/>
      <c r="B182" s="165"/>
      <c r="C182" s="165"/>
      <c r="D182" s="165"/>
      <c r="E182" s="166"/>
      <c r="F182" s="166"/>
      <c r="G182" s="167"/>
      <c r="H182" s="165"/>
      <c r="I182" s="167"/>
      <c r="J182" s="167"/>
      <c r="K182" s="13"/>
    </row>
    <row r="183" spans="1:11">
      <c r="A183" s="13"/>
      <c r="B183" s="165"/>
      <c r="C183" s="165"/>
      <c r="D183" s="165"/>
      <c r="E183" s="166"/>
      <c r="F183" s="166"/>
      <c r="G183" s="167"/>
      <c r="H183" s="165"/>
      <c r="I183" s="167"/>
      <c r="J183" s="167"/>
      <c r="K183" s="13"/>
    </row>
    <row r="184" spans="1:11">
      <c r="A184" s="13"/>
      <c r="B184" s="165"/>
      <c r="C184" s="165"/>
      <c r="D184" s="165"/>
      <c r="E184" s="166"/>
      <c r="F184" s="166"/>
      <c r="G184" s="167"/>
      <c r="H184" s="165"/>
      <c r="I184" s="167"/>
      <c r="J184" s="167"/>
      <c r="K184" s="13"/>
    </row>
    <row r="185" spans="1:11">
      <c r="A185" s="13"/>
      <c r="B185" s="165"/>
      <c r="C185" s="165"/>
      <c r="D185" s="165"/>
      <c r="E185" s="166"/>
      <c r="F185" s="166"/>
      <c r="G185" s="167"/>
      <c r="H185" s="165"/>
      <c r="I185" s="167"/>
      <c r="J185" s="167"/>
      <c r="K185" s="13"/>
    </row>
    <row r="186" spans="1:11">
      <c r="A186" s="13"/>
      <c r="B186" s="165"/>
      <c r="C186" s="165"/>
      <c r="D186" s="165"/>
      <c r="E186" s="166"/>
      <c r="F186" s="166"/>
      <c r="G186" s="167"/>
      <c r="H186" s="165"/>
      <c r="I186" s="167"/>
      <c r="J186" s="167"/>
      <c r="K186" s="13"/>
    </row>
    <row r="187" spans="1:11">
      <c r="A187" s="13"/>
      <c r="B187" s="165"/>
      <c r="C187" s="165"/>
      <c r="D187" s="165"/>
      <c r="E187" s="166"/>
      <c r="F187" s="166"/>
      <c r="G187" s="167"/>
      <c r="H187" s="165"/>
      <c r="I187" s="167"/>
      <c r="J187" s="167"/>
      <c r="K187" s="13"/>
    </row>
    <row r="188" spans="1:11">
      <c r="A188" s="13"/>
      <c r="B188" s="165"/>
      <c r="C188" s="165"/>
      <c r="D188" s="165"/>
      <c r="E188" s="166"/>
      <c r="F188" s="166"/>
      <c r="G188" s="167"/>
      <c r="H188" s="165"/>
      <c r="I188" s="167"/>
      <c r="J188" s="167"/>
      <c r="K188" s="13"/>
    </row>
    <row r="189" spans="1:11">
      <c r="A189" s="13"/>
      <c r="B189" s="165"/>
      <c r="C189" s="165"/>
      <c r="D189" s="165"/>
      <c r="E189" s="166"/>
      <c r="F189" s="166"/>
      <c r="G189" s="167"/>
      <c r="H189" s="165"/>
      <c r="I189" s="167"/>
      <c r="J189" s="167"/>
      <c r="K189" s="13"/>
    </row>
    <row r="190" spans="1:11">
      <c r="A190" s="13"/>
      <c r="B190" s="165"/>
      <c r="C190" s="165"/>
      <c r="D190" s="165"/>
      <c r="E190" s="166"/>
      <c r="F190" s="166"/>
      <c r="G190" s="167"/>
      <c r="H190" s="165"/>
      <c r="I190" s="167"/>
      <c r="J190" s="167"/>
      <c r="K190" s="13"/>
    </row>
    <row r="191" spans="1:11">
      <c r="A191" s="13"/>
      <c r="B191" s="165"/>
      <c r="C191" s="165"/>
      <c r="D191" s="165"/>
      <c r="E191" s="166"/>
      <c r="F191" s="166"/>
      <c r="G191" s="167"/>
      <c r="H191" s="165"/>
      <c r="I191" s="167"/>
      <c r="J191" s="167"/>
      <c r="K191" s="13"/>
    </row>
    <row r="192" spans="1:11">
      <c r="A192" s="13"/>
      <c r="B192" s="165"/>
      <c r="C192" s="165"/>
      <c r="D192" s="165"/>
      <c r="E192" s="166"/>
      <c r="F192" s="166"/>
      <c r="G192" s="167"/>
      <c r="H192" s="165"/>
      <c r="I192" s="167"/>
      <c r="J192" s="167"/>
      <c r="K192" s="13"/>
    </row>
    <row r="193" spans="1:11">
      <c r="A193" s="13"/>
      <c r="B193" s="165"/>
      <c r="C193" s="165"/>
      <c r="D193" s="165"/>
      <c r="E193" s="166"/>
      <c r="F193" s="166"/>
      <c r="G193" s="167"/>
      <c r="H193" s="165"/>
      <c r="I193" s="167"/>
      <c r="J193" s="167"/>
      <c r="K193" s="13"/>
    </row>
    <row r="194" spans="1:11">
      <c r="A194" s="13"/>
      <c r="B194" s="165"/>
      <c r="C194" s="165"/>
      <c r="D194" s="165"/>
      <c r="E194" s="166"/>
      <c r="F194" s="166"/>
      <c r="G194" s="167"/>
      <c r="H194" s="165"/>
      <c r="I194" s="167"/>
      <c r="J194" s="167"/>
      <c r="K194" s="13"/>
    </row>
    <row r="195" spans="1:11">
      <c r="A195" s="13"/>
      <c r="B195" s="165"/>
      <c r="C195" s="165"/>
      <c r="D195" s="165"/>
      <c r="E195" s="166"/>
      <c r="F195" s="166"/>
      <c r="G195" s="167"/>
      <c r="H195" s="165"/>
      <c r="I195" s="167"/>
      <c r="J195" s="167"/>
      <c r="K195" s="13"/>
    </row>
    <row r="196" spans="1:11">
      <c r="A196" s="13"/>
      <c r="B196" s="165"/>
      <c r="C196" s="165"/>
      <c r="D196" s="165"/>
      <c r="E196" s="166"/>
      <c r="F196" s="166"/>
      <c r="G196" s="167"/>
      <c r="H196" s="165"/>
      <c r="I196" s="167"/>
      <c r="J196" s="167"/>
      <c r="K196" s="13"/>
    </row>
    <row r="197" spans="1:11">
      <c r="A197" s="13"/>
      <c r="B197" s="165"/>
      <c r="C197" s="165"/>
      <c r="D197" s="165"/>
      <c r="E197" s="166"/>
      <c r="F197" s="166"/>
      <c r="G197" s="167"/>
      <c r="H197" s="165"/>
      <c r="I197" s="167"/>
      <c r="J197" s="167"/>
      <c r="K197" s="13"/>
    </row>
    <row r="198" spans="1:11">
      <c r="A198" s="13"/>
      <c r="B198" s="165"/>
      <c r="C198" s="165"/>
      <c r="D198" s="165"/>
      <c r="E198" s="166"/>
      <c r="F198" s="166"/>
      <c r="G198" s="167"/>
      <c r="H198" s="165"/>
      <c r="I198" s="167"/>
      <c r="J198" s="167"/>
      <c r="K198" s="13"/>
    </row>
    <row r="199" spans="1:11">
      <c r="A199" s="13"/>
      <c r="B199" s="165"/>
      <c r="C199" s="165"/>
      <c r="D199" s="165"/>
      <c r="E199" s="166"/>
      <c r="F199" s="166"/>
      <c r="G199" s="167"/>
      <c r="H199" s="165"/>
      <c r="I199" s="167"/>
      <c r="J199" s="167"/>
      <c r="K199" s="13"/>
    </row>
    <row r="200" spans="1:11">
      <c r="A200" s="13"/>
      <c r="B200" s="165"/>
      <c r="C200" s="165"/>
      <c r="D200" s="165"/>
      <c r="E200" s="166"/>
      <c r="F200" s="166"/>
      <c r="G200" s="167"/>
      <c r="H200" s="165"/>
      <c r="I200" s="167"/>
      <c r="J200" s="167"/>
      <c r="K200" s="13"/>
    </row>
    <row r="201" spans="1:11">
      <c r="A201" s="13"/>
      <c r="B201" s="165"/>
      <c r="C201" s="165"/>
      <c r="D201" s="165"/>
      <c r="E201" s="166"/>
      <c r="F201" s="166"/>
      <c r="G201" s="167"/>
      <c r="H201" s="165"/>
      <c r="I201" s="167"/>
      <c r="J201" s="167"/>
      <c r="K201" s="13"/>
    </row>
    <row r="202" spans="1:11">
      <c r="A202" s="13"/>
      <c r="B202" s="165"/>
      <c r="C202" s="165"/>
      <c r="D202" s="165"/>
      <c r="E202" s="166"/>
      <c r="F202" s="166"/>
      <c r="G202" s="167"/>
      <c r="H202" s="165"/>
      <c r="I202" s="167"/>
      <c r="J202" s="167"/>
      <c r="K202" s="13"/>
    </row>
    <row r="203" spans="1:11">
      <c r="A203" s="13"/>
      <c r="B203" s="165"/>
      <c r="C203" s="165"/>
      <c r="D203" s="165"/>
      <c r="E203" s="166"/>
      <c r="F203" s="166"/>
      <c r="G203" s="167"/>
      <c r="H203" s="165"/>
      <c r="I203" s="167"/>
      <c r="J203" s="167"/>
      <c r="K203" s="13"/>
    </row>
    <row r="204" spans="1:11">
      <c r="A204" s="13"/>
      <c r="B204" s="165"/>
      <c r="C204" s="165"/>
      <c r="D204" s="165"/>
      <c r="E204" s="166"/>
      <c r="F204" s="166"/>
      <c r="G204" s="167"/>
      <c r="H204" s="165"/>
      <c r="I204" s="167"/>
      <c r="J204" s="167"/>
      <c r="K204" s="13"/>
    </row>
    <row r="205" spans="1:11">
      <c r="A205" s="13"/>
      <c r="B205" s="165"/>
      <c r="C205" s="165"/>
      <c r="D205" s="165"/>
      <c r="E205" s="166"/>
      <c r="F205" s="166"/>
      <c r="G205" s="167"/>
      <c r="H205" s="165"/>
      <c r="I205" s="167"/>
      <c r="J205" s="167"/>
      <c r="K205" s="13"/>
    </row>
    <row r="206" spans="1:11">
      <c r="A206" s="13"/>
      <c r="B206" s="165"/>
      <c r="C206" s="165"/>
      <c r="D206" s="165"/>
      <c r="E206" s="166"/>
      <c r="F206" s="166"/>
      <c r="G206" s="167"/>
      <c r="H206" s="165"/>
      <c r="I206" s="167"/>
      <c r="J206" s="167"/>
      <c r="K206" s="13"/>
    </row>
    <row r="207" spans="1:11">
      <c r="A207" s="13"/>
      <c r="B207" s="165"/>
      <c r="C207" s="165"/>
      <c r="D207" s="165"/>
      <c r="E207" s="166"/>
      <c r="F207" s="166"/>
      <c r="G207" s="167"/>
      <c r="H207" s="165"/>
      <c r="I207" s="167"/>
      <c r="J207" s="167"/>
      <c r="K207" s="13"/>
    </row>
    <row r="208" spans="1:11">
      <c r="A208" s="13"/>
      <c r="B208" s="165"/>
      <c r="C208" s="165"/>
      <c r="D208" s="165"/>
      <c r="E208" s="166"/>
      <c r="F208" s="166"/>
      <c r="G208" s="167"/>
      <c r="H208" s="165"/>
      <c r="I208" s="167"/>
      <c r="J208" s="167"/>
      <c r="K208" s="13"/>
    </row>
    <row r="209" spans="1:11">
      <c r="A209" s="13"/>
      <c r="B209" s="165"/>
      <c r="C209" s="165"/>
      <c r="D209" s="165"/>
      <c r="E209" s="166"/>
      <c r="F209" s="166"/>
      <c r="G209" s="167"/>
      <c r="H209" s="165"/>
      <c r="I209" s="167"/>
      <c r="J209" s="167"/>
      <c r="K209" s="13"/>
    </row>
    <row r="210" spans="1:11">
      <c r="A210" s="13"/>
      <c r="B210" s="165"/>
      <c r="C210" s="165"/>
      <c r="D210" s="165"/>
      <c r="E210" s="166"/>
      <c r="F210" s="166"/>
      <c r="G210" s="167"/>
      <c r="H210" s="165"/>
      <c r="I210" s="167"/>
      <c r="J210" s="167"/>
      <c r="K210" s="13"/>
    </row>
    <row r="211" spans="1:11">
      <c r="A211" s="13"/>
      <c r="B211" s="165"/>
      <c r="C211" s="165"/>
      <c r="D211" s="165"/>
      <c r="E211" s="166"/>
      <c r="F211" s="166"/>
      <c r="G211" s="167"/>
      <c r="H211" s="165"/>
      <c r="I211" s="167"/>
      <c r="J211" s="167"/>
      <c r="K211" s="13"/>
    </row>
    <row r="212" spans="1:11">
      <c r="A212" s="13"/>
      <c r="B212" s="165"/>
      <c r="C212" s="165"/>
      <c r="D212" s="165"/>
      <c r="E212" s="166"/>
      <c r="F212" s="166"/>
      <c r="G212" s="167"/>
      <c r="H212" s="165"/>
      <c r="I212" s="167"/>
      <c r="J212" s="167"/>
      <c r="K212" s="13"/>
    </row>
    <row r="213" spans="1:11">
      <c r="A213" s="13"/>
      <c r="B213" s="165"/>
      <c r="C213" s="165"/>
      <c r="D213" s="165"/>
      <c r="E213" s="166"/>
      <c r="F213" s="166"/>
      <c r="G213" s="167"/>
      <c r="H213" s="165"/>
      <c r="I213" s="167"/>
      <c r="J213" s="167"/>
      <c r="K213" s="13"/>
    </row>
    <row r="214" spans="1:11">
      <c r="A214" s="13"/>
      <c r="B214" s="165"/>
      <c r="C214" s="165"/>
      <c r="D214" s="165"/>
      <c r="E214" s="166"/>
      <c r="F214" s="166"/>
      <c r="G214" s="167"/>
      <c r="H214" s="165"/>
      <c r="I214" s="167"/>
      <c r="J214" s="167"/>
      <c r="K214" s="13"/>
    </row>
    <row r="215" spans="1:11">
      <c r="A215" s="13"/>
      <c r="B215" s="165"/>
      <c r="C215" s="165"/>
      <c r="D215" s="165"/>
      <c r="E215" s="166"/>
      <c r="F215" s="166"/>
      <c r="G215" s="167"/>
      <c r="H215" s="165"/>
      <c r="I215" s="167"/>
      <c r="J215" s="167"/>
      <c r="K215" s="13"/>
    </row>
    <row r="216" spans="1:11">
      <c r="A216" s="13"/>
      <c r="B216" s="165"/>
      <c r="C216" s="165"/>
      <c r="D216" s="165"/>
      <c r="E216" s="166"/>
      <c r="F216" s="166"/>
      <c r="G216" s="167"/>
      <c r="H216" s="165"/>
      <c r="I216" s="167"/>
      <c r="J216" s="167"/>
      <c r="K216" s="13"/>
    </row>
    <row r="217" spans="1:11">
      <c r="A217" s="13"/>
      <c r="B217" s="165"/>
      <c r="C217" s="165"/>
      <c r="D217" s="165"/>
      <c r="E217" s="166"/>
      <c r="F217" s="166"/>
      <c r="G217" s="167"/>
      <c r="H217" s="165"/>
      <c r="I217" s="167"/>
      <c r="J217" s="167"/>
      <c r="K217" s="13"/>
    </row>
    <row r="218" spans="1:11">
      <c r="A218" s="13"/>
      <c r="B218" s="165"/>
      <c r="C218" s="165"/>
      <c r="D218" s="165"/>
      <c r="E218" s="166"/>
      <c r="F218" s="166"/>
      <c r="G218" s="167"/>
      <c r="H218" s="165"/>
      <c r="I218" s="167"/>
      <c r="J218" s="167"/>
      <c r="K218" s="13"/>
    </row>
    <row r="219" spans="1:11">
      <c r="A219" s="13"/>
      <c r="B219" s="165"/>
      <c r="C219" s="165"/>
      <c r="D219" s="165"/>
      <c r="E219" s="166"/>
      <c r="F219" s="166"/>
      <c r="G219" s="167"/>
      <c r="H219" s="165"/>
      <c r="I219" s="167"/>
      <c r="J219" s="167"/>
      <c r="K219" s="13"/>
    </row>
    <row r="220" spans="1:11">
      <c r="A220" s="13"/>
      <c r="B220" s="165"/>
      <c r="C220" s="165"/>
      <c r="D220" s="165"/>
      <c r="E220" s="166"/>
      <c r="F220" s="166"/>
      <c r="G220" s="167"/>
      <c r="H220" s="165"/>
      <c r="I220" s="167"/>
      <c r="J220" s="167"/>
      <c r="K220" s="13"/>
    </row>
    <row r="221" spans="1:11">
      <c r="A221" s="13"/>
      <c r="B221" s="165"/>
      <c r="C221" s="165"/>
      <c r="D221" s="165"/>
      <c r="E221" s="166"/>
      <c r="F221" s="166"/>
      <c r="G221" s="167"/>
      <c r="H221" s="165"/>
      <c r="I221" s="167"/>
      <c r="J221" s="167"/>
      <c r="K221" s="13"/>
    </row>
    <row r="222" spans="1:11">
      <c r="A222" s="13"/>
      <c r="B222" s="165"/>
      <c r="C222" s="165"/>
      <c r="D222" s="165"/>
      <c r="E222" s="166"/>
      <c r="F222" s="166"/>
      <c r="G222" s="167"/>
      <c r="H222" s="165"/>
      <c r="I222" s="167"/>
      <c r="J222" s="167"/>
      <c r="K222" s="13"/>
    </row>
    <row r="223" spans="1:11">
      <c r="A223" s="13"/>
      <c r="B223" s="165"/>
      <c r="C223" s="165"/>
      <c r="D223" s="165"/>
      <c r="E223" s="166"/>
      <c r="F223" s="166"/>
      <c r="G223" s="167"/>
      <c r="H223" s="165"/>
      <c r="I223" s="167"/>
      <c r="J223" s="167"/>
      <c r="K223" s="13"/>
    </row>
    <row r="224" spans="1:11">
      <c r="A224" s="13"/>
      <c r="B224" s="165"/>
      <c r="C224" s="165"/>
      <c r="D224" s="165"/>
      <c r="E224" s="166"/>
      <c r="F224" s="166"/>
      <c r="G224" s="167"/>
      <c r="H224" s="165"/>
      <c r="I224" s="167"/>
      <c r="J224" s="167"/>
      <c r="K224" s="13"/>
    </row>
    <row r="225" spans="1:11">
      <c r="A225" s="13"/>
      <c r="B225" s="165"/>
      <c r="C225" s="165"/>
      <c r="D225" s="165"/>
      <c r="E225" s="166"/>
      <c r="F225" s="166"/>
      <c r="G225" s="167"/>
      <c r="H225" s="165"/>
      <c r="I225" s="167"/>
      <c r="J225" s="167"/>
      <c r="K225" s="13"/>
    </row>
    <row r="226" spans="1:11">
      <c r="A226" s="13"/>
      <c r="B226" s="165"/>
      <c r="C226" s="165"/>
      <c r="D226" s="165"/>
      <c r="E226" s="166"/>
      <c r="F226" s="166"/>
      <c r="G226" s="167"/>
      <c r="H226" s="165"/>
      <c r="I226" s="167"/>
      <c r="J226" s="167"/>
      <c r="K226" s="13"/>
    </row>
    <row r="227" spans="1:11">
      <c r="A227" s="13"/>
      <c r="B227" s="165"/>
      <c r="C227" s="165"/>
      <c r="D227" s="165"/>
      <c r="E227" s="166"/>
      <c r="F227" s="166"/>
      <c r="G227" s="167"/>
      <c r="H227" s="165"/>
      <c r="I227" s="167"/>
      <c r="J227" s="167"/>
      <c r="K227" s="13"/>
    </row>
    <row r="228" spans="1:11">
      <c r="A228" s="13"/>
      <c r="B228" s="165"/>
      <c r="C228" s="165"/>
      <c r="D228" s="165"/>
      <c r="E228" s="166"/>
      <c r="F228" s="166"/>
      <c r="G228" s="167"/>
      <c r="H228" s="165"/>
      <c r="I228" s="167"/>
      <c r="J228" s="167"/>
      <c r="K228" s="13"/>
    </row>
    <row r="229" spans="1:11">
      <c r="A229" s="13"/>
      <c r="B229" s="165"/>
      <c r="C229" s="165"/>
      <c r="D229" s="165"/>
      <c r="E229" s="166"/>
      <c r="F229" s="166"/>
      <c r="G229" s="167"/>
      <c r="H229" s="165"/>
      <c r="I229" s="167"/>
      <c r="J229" s="167"/>
      <c r="K229" s="13"/>
    </row>
    <row r="230" spans="1:11">
      <c r="A230" s="13"/>
      <c r="B230" s="165"/>
      <c r="C230" s="165"/>
      <c r="D230" s="165"/>
      <c r="E230" s="166"/>
      <c r="F230" s="166"/>
      <c r="G230" s="167"/>
      <c r="H230" s="165"/>
      <c r="I230" s="167"/>
      <c r="J230" s="167"/>
      <c r="K230" s="13"/>
    </row>
    <row r="231" spans="1:11">
      <c r="A231" s="13"/>
      <c r="B231" s="165"/>
      <c r="C231" s="165"/>
      <c r="D231" s="165"/>
      <c r="E231" s="166"/>
      <c r="F231" s="166"/>
      <c r="G231" s="167"/>
      <c r="H231" s="165"/>
      <c r="I231" s="167"/>
      <c r="J231" s="167"/>
      <c r="K231" s="13"/>
    </row>
    <row r="232" spans="1:11">
      <c r="A232" s="13"/>
      <c r="B232" s="165"/>
      <c r="C232" s="165"/>
      <c r="D232" s="165"/>
      <c r="E232" s="166"/>
      <c r="F232" s="166"/>
      <c r="G232" s="167"/>
      <c r="H232" s="165"/>
      <c r="I232" s="167"/>
      <c r="J232" s="167"/>
      <c r="K232" s="13"/>
    </row>
    <row r="233" spans="1:11">
      <c r="A233" s="13"/>
      <c r="B233" s="165"/>
      <c r="C233" s="165"/>
      <c r="D233" s="165"/>
      <c r="E233" s="166"/>
      <c r="F233" s="166"/>
      <c r="G233" s="167"/>
      <c r="H233" s="165"/>
      <c r="I233" s="167"/>
      <c r="J233" s="167"/>
      <c r="K233" s="13"/>
    </row>
    <row r="234" spans="1:11">
      <c r="A234" s="13"/>
      <c r="B234" s="165"/>
      <c r="C234" s="165"/>
      <c r="D234" s="165"/>
      <c r="E234" s="166"/>
      <c r="F234" s="166"/>
      <c r="G234" s="167"/>
      <c r="H234" s="165"/>
      <c r="I234" s="167"/>
      <c r="J234" s="167"/>
      <c r="K234" s="13"/>
    </row>
    <row r="235" spans="1:11">
      <c r="A235" s="13"/>
      <c r="B235" s="165"/>
      <c r="C235" s="165"/>
      <c r="D235" s="165"/>
      <c r="E235" s="166"/>
      <c r="F235" s="166"/>
      <c r="G235" s="167"/>
      <c r="H235" s="165"/>
      <c r="I235" s="167"/>
      <c r="J235" s="167"/>
      <c r="K235" s="13"/>
    </row>
    <row r="236" spans="1:11">
      <c r="A236" s="13"/>
      <c r="B236" s="165"/>
      <c r="C236" s="165"/>
      <c r="D236" s="165"/>
      <c r="E236" s="166"/>
      <c r="F236" s="166"/>
      <c r="G236" s="167"/>
      <c r="H236" s="165"/>
      <c r="I236" s="167"/>
      <c r="J236" s="167"/>
      <c r="K236" s="13"/>
    </row>
    <row r="237" spans="1:11">
      <c r="A237" s="13"/>
      <c r="B237" s="165"/>
      <c r="C237" s="165"/>
      <c r="D237" s="165"/>
      <c r="E237" s="166"/>
      <c r="F237" s="166"/>
      <c r="G237" s="167"/>
      <c r="H237" s="165"/>
      <c r="I237" s="167"/>
      <c r="J237" s="167"/>
      <c r="K237" s="13"/>
    </row>
    <row r="238" spans="1:11">
      <c r="A238" s="13"/>
      <c r="B238" s="165"/>
      <c r="C238" s="165"/>
      <c r="D238" s="165"/>
      <c r="E238" s="166"/>
      <c r="F238" s="166"/>
      <c r="G238" s="167"/>
      <c r="H238" s="165"/>
      <c r="I238" s="167"/>
      <c r="J238" s="167"/>
      <c r="K238" s="13"/>
    </row>
    <row r="239" spans="1:11">
      <c r="A239" s="13"/>
      <c r="B239" s="165"/>
      <c r="C239" s="165"/>
      <c r="D239" s="165"/>
      <c r="E239" s="166"/>
      <c r="F239" s="166"/>
      <c r="G239" s="167"/>
      <c r="H239" s="165"/>
      <c r="I239" s="167"/>
      <c r="J239" s="167"/>
      <c r="K239" s="13"/>
    </row>
    <row r="240" spans="1:11">
      <c r="A240" s="13"/>
      <c r="B240" s="165"/>
      <c r="C240" s="165"/>
      <c r="D240" s="165"/>
      <c r="E240" s="166"/>
      <c r="F240" s="166"/>
      <c r="G240" s="167"/>
      <c r="H240" s="165"/>
      <c r="I240" s="167"/>
      <c r="J240" s="167"/>
      <c r="K240" s="13"/>
    </row>
    <row r="241" spans="2:10" s="13" customFormat="1">
      <c r="B241" s="165"/>
      <c r="C241" s="165"/>
      <c r="D241" s="165"/>
      <c r="E241" s="166"/>
      <c r="F241" s="166"/>
      <c r="G241" s="167"/>
      <c r="H241" s="165"/>
      <c r="I241" s="167"/>
      <c r="J241" s="167"/>
    </row>
    <row r="242" spans="2:10" s="13" customFormat="1">
      <c r="B242" s="165"/>
      <c r="C242" s="165"/>
      <c r="D242" s="165"/>
      <c r="E242" s="166"/>
      <c r="F242" s="166"/>
      <c r="G242" s="167"/>
      <c r="H242" s="165"/>
      <c r="I242" s="167"/>
      <c r="J242" s="167"/>
    </row>
    <row r="243" spans="2:10" s="13" customFormat="1">
      <c r="B243" s="165"/>
      <c r="C243" s="165"/>
      <c r="D243" s="165"/>
      <c r="E243" s="166"/>
      <c r="F243" s="166"/>
      <c r="G243" s="167"/>
      <c r="H243" s="165"/>
      <c r="I243" s="167"/>
      <c r="J243" s="167"/>
    </row>
    <row r="244" spans="2:10" s="13" customFormat="1">
      <c r="B244" s="165"/>
      <c r="C244" s="165"/>
      <c r="D244" s="165"/>
      <c r="E244" s="166"/>
      <c r="F244" s="166"/>
      <c r="G244" s="167"/>
      <c r="H244" s="165"/>
      <c r="I244" s="167"/>
      <c r="J244" s="167"/>
    </row>
    <row r="245" spans="2:10" s="13" customFormat="1">
      <c r="B245" s="165"/>
      <c r="C245" s="165"/>
      <c r="D245" s="165"/>
      <c r="E245" s="166"/>
      <c r="F245" s="166"/>
      <c r="G245" s="167"/>
      <c r="H245" s="165"/>
      <c r="I245" s="167"/>
      <c r="J245" s="167"/>
    </row>
    <row r="246" spans="2:10" s="13" customFormat="1">
      <c r="B246" s="165"/>
      <c r="C246" s="165"/>
      <c r="D246" s="165"/>
      <c r="E246" s="166"/>
      <c r="F246" s="166"/>
      <c r="G246" s="167"/>
      <c r="H246" s="165"/>
      <c r="I246" s="167"/>
      <c r="J246" s="167"/>
    </row>
    <row r="247" spans="2:10" s="13" customFormat="1">
      <c r="B247" s="165"/>
      <c r="C247" s="165"/>
      <c r="D247" s="165"/>
      <c r="E247" s="166"/>
      <c r="F247" s="166"/>
      <c r="G247" s="167"/>
      <c r="H247" s="165"/>
      <c r="I247" s="167"/>
      <c r="J247" s="167"/>
    </row>
    <row r="248" spans="2:10" s="13" customFormat="1">
      <c r="B248" s="165"/>
      <c r="C248" s="165"/>
      <c r="D248" s="165"/>
      <c r="E248" s="166"/>
      <c r="F248" s="166"/>
      <c r="G248" s="167"/>
      <c r="H248" s="165"/>
      <c r="I248" s="167"/>
      <c r="J248" s="167"/>
    </row>
    <row r="249" spans="2:10" s="13" customFormat="1">
      <c r="B249" s="165"/>
      <c r="C249" s="165"/>
      <c r="D249" s="165"/>
      <c r="E249" s="166"/>
      <c r="F249" s="166"/>
      <c r="G249" s="167"/>
      <c r="H249" s="165"/>
      <c r="I249" s="167"/>
      <c r="J249" s="167"/>
    </row>
    <row r="250" spans="2:10" s="172" customFormat="1">
      <c r="B250" s="173"/>
      <c r="C250" s="174"/>
      <c r="D250" s="174"/>
      <c r="E250" s="164"/>
      <c r="F250" s="164"/>
      <c r="G250" s="163"/>
      <c r="H250" s="173"/>
      <c r="I250" s="175"/>
      <c r="J250" s="175"/>
    </row>
    <row r="251" spans="2:10" s="172" customFormat="1">
      <c r="B251" s="173"/>
      <c r="C251" s="173"/>
      <c r="D251" s="174"/>
      <c r="E251" s="164"/>
      <c r="F251" s="164"/>
      <c r="G251" s="175"/>
      <c r="H251" s="173"/>
      <c r="I251" s="175"/>
      <c r="J251" s="175"/>
    </row>
    <row r="252" spans="2:10" s="13" customFormat="1">
      <c r="B252" s="165"/>
      <c r="C252" s="165"/>
      <c r="D252" s="169"/>
      <c r="E252" s="166"/>
      <c r="F252" s="166"/>
      <c r="G252" s="167"/>
      <c r="H252" s="165"/>
      <c r="I252" s="167"/>
      <c r="J252" s="167"/>
    </row>
    <row r="253" spans="2:10" s="13" customFormat="1">
      <c r="B253" s="165"/>
      <c r="C253" s="169"/>
      <c r="D253" s="169"/>
      <c r="E253" s="170"/>
      <c r="F253" s="170"/>
      <c r="G253" s="171"/>
      <c r="H253" s="165"/>
      <c r="I253" s="167"/>
      <c r="J253" s="167"/>
    </row>
    <row r="254" spans="2:10" s="13" customFormat="1">
      <c r="B254" s="165"/>
      <c r="C254" s="165"/>
      <c r="D254" s="165"/>
      <c r="E254" s="170"/>
      <c r="F254" s="170"/>
      <c r="G254" s="171"/>
      <c r="H254" s="165"/>
      <c r="I254" s="167"/>
      <c r="J254" s="167"/>
    </row>
    <row r="255" spans="2:10" s="13" customFormat="1">
      <c r="B255" s="165"/>
      <c r="C255" s="165"/>
      <c r="D255" s="165"/>
      <c r="E255" s="166"/>
      <c r="F255" s="166"/>
      <c r="G255" s="167"/>
      <c r="H255" s="165"/>
      <c r="I255" s="167"/>
      <c r="J255" s="167"/>
    </row>
    <row r="256" spans="2:10" s="13" customFormat="1">
      <c r="B256" s="165"/>
      <c r="C256" s="165"/>
      <c r="D256" s="165"/>
      <c r="E256" s="166"/>
      <c r="F256" s="166"/>
      <c r="G256" s="167"/>
      <c r="H256" s="165"/>
      <c r="I256" s="167"/>
      <c r="J256" s="167"/>
    </row>
    <row r="257" spans="2:10" s="13" customFormat="1">
      <c r="B257" s="165"/>
      <c r="C257" s="165"/>
      <c r="D257" s="165"/>
      <c r="E257" s="166"/>
      <c r="F257" s="166"/>
      <c r="G257" s="167"/>
      <c r="H257" s="165"/>
      <c r="I257" s="167"/>
      <c r="J257" s="167"/>
    </row>
    <row r="258" spans="2:10" s="13" customFormat="1">
      <c r="B258" s="165"/>
      <c r="C258" s="165"/>
      <c r="D258" s="165"/>
      <c r="E258" s="166"/>
      <c r="F258" s="166"/>
      <c r="G258" s="167"/>
      <c r="H258" s="165"/>
      <c r="I258" s="167"/>
      <c r="J258" s="167"/>
    </row>
    <row r="259" spans="2:10" s="13" customFormat="1">
      <c r="B259" s="169"/>
      <c r="C259" s="165"/>
      <c r="D259" s="165"/>
      <c r="E259" s="166"/>
      <c r="F259" s="166"/>
      <c r="G259" s="167"/>
      <c r="H259" s="165"/>
      <c r="I259" s="167"/>
      <c r="J259" s="167"/>
    </row>
    <row r="260" spans="2:10" s="13" customFormat="1">
      <c r="B260" s="165"/>
      <c r="C260" s="165"/>
      <c r="D260" s="165"/>
      <c r="E260" s="166"/>
      <c r="F260" s="166"/>
      <c r="G260" s="167"/>
      <c r="H260" s="165"/>
      <c r="I260" s="167"/>
      <c r="J260" s="167"/>
    </row>
    <row r="261" spans="2:10" s="13" customFormat="1">
      <c r="B261" s="165"/>
      <c r="C261" s="165"/>
      <c r="D261" s="165"/>
      <c r="E261" s="166"/>
      <c r="F261" s="166"/>
      <c r="G261" s="167"/>
      <c r="H261" s="165"/>
      <c r="I261" s="167"/>
      <c r="J261" s="167"/>
    </row>
    <row r="262" spans="2:10" s="13" customFormat="1">
      <c r="B262" s="165"/>
      <c r="C262" s="165"/>
      <c r="D262" s="165"/>
      <c r="E262" s="166"/>
      <c r="F262" s="166"/>
      <c r="G262" s="167"/>
      <c r="H262" s="165"/>
      <c r="I262" s="167"/>
      <c r="J262" s="167"/>
    </row>
    <row r="263" spans="2:10" s="13" customFormat="1">
      <c r="B263" s="165"/>
      <c r="C263" s="165"/>
      <c r="D263" s="165"/>
      <c r="E263" s="166"/>
      <c r="F263" s="166"/>
      <c r="G263" s="167"/>
      <c r="H263" s="165"/>
      <c r="I263" s="167"/>
      <c r="J263" s="167"/>
    </row>
    <row r="264" spans="2:10" s="13" customFormat="1">
      <c r="B264" s="165"/>
      <c r="C264" s="165"/>
      <c r="D264" s="165"/>
      <c r="E264" s="166"/>
      <c r="F264" s="166"/>
      <c r="G264" s="167"/>
      <c r="H264" s="165"/>
      <c r="I264" s="167"/>
      <c r="J264" s="167"/>
    </row>
    <row r="265" spans="2:10" s="176" customFormat="1">
      <c r="B265" s="174"/>
      <c r="C265" s="174"/>
      <c r="D265" s="174"/>
      <c r="E265" s="164"/>
      <c r="F265" s="164"/>
      <c r="G265" s="163"/>
      <c r="H265" s="174"/>
      <c r="I265" s="163"/>
      <c r="J265" s="163"/>
    </row>
    <row r="266" spans="2:10" s="176" customFormat="1">
      <c r="B266" s="174"/>
      <c r="C266" s="174"/>
      <c r="D266" s="174"/>
      <c r="E266" s="164"/>
      <c r="F266" s="164"/>
      <c r="G266" s="163"/>
      <c r="H266" s="174"/>
      <c r="I266" s="163"/>
      <c r="J266" s="163"/>
    </row>
    <row r="267" spans="2:10" s="13" customFormat="1">
      <c r="B267" s="165"/>
      <c r="C267" s="165"/>
      <c r="D267" s="165"/>
      <c r="E267" s="166"/>
      <c r="F267" s="166"/>
      <c r="G267" s="167"/>
      <c r="H267" s="165"/>
      <c r="I267" s="167"/>
      <c r="J267" s="167"/>
    </row>
    <row r="268" spans="2:10" s="13" customFormat="1">
      <c r="B268" s="165"/>
      <c r="C268" s="165"/>
      <c r="D268" s="165"/>
      <c r="E268" s="166"/>
      <c r="F268" s="166"/>
      <c r="G268" s="167"/>
      <c r="H268" s="165"/>
      <c r="I268" s="167"/>
      <c r="J268" s="167"/>
    </row>
    <row r="269" spans="2:10" s="13" customFormat="1">
      <c r="B269" s="165"/>
      <c r="C269" s="165"/>
      <c r="D269" s="165"/>
      <c r="E269" s="166"/>
      <c r="F269" s="166"/>
      <c r="G269" s="167"/>
      <c r="H269" s="165"/>
      <c r="I269" s="167"/>
      <c r="J269" s="167"/>
    </row>
    <row r="270" spans="2:10" s="13" customFormat="1">
      <c r="B270" s="165"/>
      <c r="C270" s="165"/>
      <c r="D270" s="165"/>
      <c r="E270" s="166"/>
      <c r="F270" s="166"/>
      <c r="G270" s="167"/>
      <c r="H270" s="165"/>
      <c r="I270" s="167"/>
      <c r="J270" s="167"/>
    </row>
    <row r="271" spans="2:10" s="13" customFormat="1">
      <c r="B271" s="169"/>
      <c r="C271" s="165"/>
      <c r="D271" s="165"/>
      <c r="E271" s="166"/>
      <c r="F271" s="166"/>
      <c r="G271" s="167"/>
      <c r="H271" s="165"/>
      <c r="I271" s="167"/>
      <c r="J271" s="167"/>
    </row>
    <row r="272" spans="2:10" s="13" customFormat="1">
      <c r="B272" s="165"/>
      <c r="C272" s="165"/>
      <c r="D272" s="165"/>
      <c r="E272" s="166"/>
      <c r="F272" s="166"/>
      <c r="G272" s="167"/>
      <c r="H272" s="165"/>
      <c r="I272" s="167"/>
      <c r="J272" s="167"/>
    </row>
    <row r="273" spans="2:10" s="13" customFormat="1">
      <c r="B273" s="165"/>
      <c r="C273" s="165"/>
      <c r="D273" s="165"/>
      <c r="E273" s="166"/>
      <c r="F273" s="166"/>
      <c r="G273" s="167"/>
      <c r="H273" s="165"/>
      <c r="I273" s="167"/>
      <c r="J273" s="167"/>
    </row>
    <row r="274" spans="2:10" s="13" customFormat="1">
      <c r="B274" s="165"/>
      <c r="C274" s="165"/>
      <c r="D274" s="165"/>
      <c r="E274" s="166"/>
      <c r="F274" s="166"/>
      <c r="G274" s="167"/>
      <c r="H274" s="165"/>
      <c r="I274" s="167"/>
      <c r="J274" s="167"/>
    </row>
    <row r="275" spans="2:10" s="13" customFormat="1">
      <c r="B275" s="165"/>
      <c r="C275" s="165"/>
      <c r="D275" s="165"/>
      <c r="E275" s="166"/>
      <c r="F275" s="166"/>
      <c r="G275" s="167"/>
      <c r="H275" s="165"/>
      <c r="I275" s="167"/>
      <c r="J275" s="167"/>
    </row>
    <row r="276" spans="2:10" s="13" customFormat="1">
      <c r="B276" s="165"/>
      <c r="C276" s="165"/>
      <c r="D276" s="165"/>
      <c r="E276" s="166"/>
      <c r="F276" s="166"/>
      <c r="G276" s="167"/>
      <c r="H276" s="165"/>
      <c r="I276" s="167"/>
      <c r="J276" s="167"/>
    </row>
    <row r="277" spans="2:10" s="13" customFormat="1">
      <c r="B277" s="165"/>
      <c r="C277" s="165"/>
      <c r="D277" s="165"/>
      <c r="E277" s="166"/>
      <c r="F277" s="166"/>
      <c r="G277" s="167"/>
      <c r="H277" s="165"/>
      <c r="I277" s="167"/>
      <c r="J277" s="167"/>
    </row>
    <row r="278" spans="2:10" s="13" customFormat="1">
      <c r="B278" s="165"/>
      <c r="C278" s="165"/>
      <c r="D278" s="165"/>
      <c r="E278" s="166"/>
      <c r="F278" s="166"/>
      <c r="G278" s="167"/>
      <c r="H278" s="165"/>
      <c r="I278" s="167"/>
      <c r="J278" s="167"/>
    </row>
    <row r="279" spans="2:10" s="13" customFormat="1">
      <c r="B279" s="165"/>
      <c r="C279" s="165"/>
      <c r="D279" s="165"/>
      <c r="E279" s="166"/>
      <c r="F279" s="166"/>
      <c r="G279" s="167"/>
      <c r="H279" s="165"/>
      <c r="I279" s="167"/>
      <c r="J279" s="167"/>
    </row>
    <row r="280" spans="2:10" s="13" customFormat="1">
      <c r="B280" s="165"/>
      <c r="C280" s="165"/>
      <c r="D280" s="165"/>
      <c r="E280" s="166"/>
      <c r="F280" s="166"/>
      <c r="G280" s="167"/>
      <c r="H280" s="165"/>
      <c r="I280" s="167"/>
      <c r="J280" s="167"/>
    </row>
    <row r="281" spans="2:10" s="13" customFormat="1">
      <c r="B281" s="165"/>
      <c r="C281" s="165"/>
      <c r="D281" s="165"/>
      <c r="E281" s="166"/>
      <c r="F281" s="166"/>
      <c r="G281" s="167"/>
      <c r="H281" s="165"/>
      <c r="I281" s="167"/>
      <c r="J281" s="167"/>
    </row>
    <row r="282" spans="2:10" s="13" customFormat="1">
      <c r="B282" s="165"/>
      <c r="C282" s="165"/>
      <c r="D282" s="165"/>
      <c r="E282" s="166"/>
      <c r="F282" s="166"/>
      <c r="G282" s="167"/>
      <c r="H282" s="165"/>
      <c r="I282" s="167"/>
      <c r="J282" s="167"/>
    </row>
    <row r="283" spans="2:10" s="13" customFormat="1">
      <c r="B283" s="165"/>
      <c r="C283" s="165"/>
      <c r="D283" s="165"/>
      <c r="E283" s="166"/>
      <c r="F283" s="166"/>
      <c r="G283" s="167"/>
      <c r="H283" s="165"/>
      <c r="I283" s="167"/>
      <c r="J283" s="167"/>
    </row>
    <row r="284" spans="2:10" s="13" customFormat="1">
      <c r="B284" s="165"/>
      <c r="C284" s="165"/>
      <c r="D284" s="165"/>
      <c r="E284" s="166"/>
      <c r="F284" s="166"/>
      <c r="G284" s="167"/>
      <c r="H284" s="165"/>
      <c r="I284" s="167"/>
      <c r="J284" s="167"/>
    </row>
    <row r="285" spans="2:10" s="13" customFormat="1">
      <c r="B285" s="165"/>
      <c r="C285" s="165"/>
      <c r="D285" s="165"/>
      <c r="E285" s="166"/>
      <c r="F285" s="166"/>
      <c r="G285" s="167"/>
      <c r="H285" s="165"/>
      <c r="I285" s="167"/>
      <c r="J285" s="167"/>
    </row>
    <row r="286" spans="2:10" s="13" customFormat="1">
      <c r="B286" s="165"/>
      <c r="C286" s="165"/>
      <c r="D286" s="165"/>
      <c r="E286" s="166"/>
      <c r="F286" s="166"/>
      <c r="G286" s="167"/>
      <c r="H286" s="165"/>
      <c r="I286" s="167"/>
      <c r="J286" s="167"/>
    </row>
    <row r="287" spans="2:10" s="13" customFormat="1">
      <c r="B287" s="165"/>
      <c r="C287" s="165"/>
      <c r="D287" s="165"/>
      <c r="E287" s="166"/>
      <c r="F287" s="166"/>
      <c r="G287" s="167"/>
      <c r="H287" s="165"/>
      <c r="I287" s="167"/>
      <c r="J287" s="167"/>
    </row>
    <row r="288" spans="2:10" s="13" customFormat="1">
      <c r="B288" s="165"/>
      <c r="C288" s="165"/>
      <c r="D288" s="165"/>
      <c r="E288" s="166"/>
      <c r="F288" s="166"/>
      <c r="G288" s="167"/>
      <c r="H288" s="165"/>
      <c r="I288" s="167"/>
      <c r="J288" s="167"/>
    </row>
    <row r="289" spans="2:10" s="13" customFormat="1">
      <c r="B289" s="165"/>
      <c r="C289" s="165"/>
      <c r="D289" s="165"/>
      <c r="E289" s="166"/>
      <c r="F289" s="166"/>
      <c r="G289" s="167"/>
      <c r="H289" s="165"/>
      <c r="I289" s="167"/>
      <c r="J289" s="167"/>
    </row>
    <row r="290" spans="2:10" s="13" customFormat="1">
      <c r="B290" s="165"/>
      <c r="C290" s="165"/>
      <c r="D290" s="165"/>
      <c r="E290" s="166"/>
      <c r="F290" s="166"/>
      <c r="G290" s="167"/>
      <c r="H290" s="165"/>
      <c r="I290" s="167"/>
      <c r="J290" s="167"/>
    </row>
    <row r="291" spans="2:10" s="13" customFormat="1">
      <c r="B291" s="165"/>
      <c r="C291" s="165"/>
      <c r="D291" s="165"/>
      <c r="E291" s="166"/>
      <c r="F291" s="166"/>
      <c r="G291" s="167"/>
      <c r="H291" s="165"/>
      <c r="I291" s="167"/>
      <c r="J291" s="167"/>
    </row>
    <row r="292" spans="2:10" s="13" customFormat="1">
      <c r="B292" s="165"/>
      <c r="C292" s="165"/>
      <c r="D292" s="165"/>
      <c r="E292" s="166"/>
      <c r="F292" s="166"/>
      <c r="G292" s="167"/>
      <c r="H292" s="165"/>
      <c r="I292" s="167"/>
      <c r="J292" s="167"/>
    </row>
    <row r="293" spans="2:10" s="13" customFormat="1">
      <c r="B293" s="165"/>
      <c r="C293" s="165"/>
      <c r="D293" s="165"/>
      <c r="E293" s="166"/>
      <c r="F293" s="166"/>
      <c r="G293" s="167"/>
      <c r="H293" s="165"/>
      <c r="I293" s="167"/>
      <c r="J293" s="167"/>
    </row>
    <row r="294" spans="2:10" s="13" customFormat="1">
      <c r="B294" s="165"/>
      <c r="C294" s="165"/>
      <c r="D294" s="165"/>
      <c r="E294" s="166"/>
      <c r="F294" s="166"/>
      <c r="G294" s="167"/>
      <c r="H294" s="165"/>
      <c r="I294" s="167"/>
      <c r="J294" s="167"/>
    </row>
    <row r="295" spans="2:10" s="13" customFormat="1">
      <c r="B295" s="165"/>
      <c r="C295" s="165"/>
      <c r="D295" s="165"/>
      <c r="E295" s="166"/>
      <c r="F295" s="166"/>
      <c r="G295" s="167"/>
      <c r="H295" s="165"/>
      <c r="I295" s="167"/>
      <c r="J295" s="167"/>
    </row>
    <row r="296" spans="2:10" s="13" customFormat="1">
      <c r="B296" s="165"/>
      <c r="C296" s="165"/>
      <c r="D296" s="165"/>
      <c r="E296" s="166"/>
      <c r="F296" s="166"/>
      <c r="G296" s="167"/>
      <c r="H296" s="165"/>
      <c r="I296" s="167"/>
      <c r="J296" s="167"/>
    </row>
    <row r="297" spans="2:10" s="13" customFormat="1">
      <c r="B297" s="165"/>
      <c r="C297" s="165"/>
      <c r="D297" s="165"/>
      <c r="E297" s="166"/>
      <c r="F297" s="166"/>
      <c r="G297" s="167"/>
      <c r="H297" s="165"/>
      <c r="I297" s="167"/>
      <c r="J297" s="167"/>
    </row>
    <row r="298" spans="2:10" s="13" customFormat="1">
      <c r="B298" s="165"/>
      <c r="C298" s="165"/>
      <c r="D298" s="165"/>
      <c r="E298" s="166"/>
      <c r="F298" s="166"/>
      <c r="G298" s="167"/>
      <c r="H298" s="165"/>
      <c r="I298" s="167"/>
      <c r="J298" s="167"/>
    </row>
    <row r="299" spans="2:10" s="13" customFormat="1">
      <c r="B299" s="165"/>
      <c r="C299" s="165"/>
      <c r="D299" s="165"/>
      <c r="E299" s="166"/>
      <c r="F299" s="166"/>
      <c r="G299" s="167"/>
      <c r="H299" s="165"/>
      <c r="I299" s="167"/>
      <c r="J299" s="167"/>
    </row>
    <row r="300" spans="2:10" s="13" customFormat="1">
      <c r="B300" s="165"/>
      <c r="C300" s="165"/>
      <c r="D300" s="165"/>
      <c r="E300" s="166"/>
      <c r="F300" s="166"/>
      <c r="G300" s="167"/>
      <c r="H300" s="165"/>
      <c r="I300" s="167"/>
      <c r="J300" s="167"/>
    </row>
    <row r="301" spans="2:10" s="13" customFormat="1">
      <c r="B301" s="165"/>
      <c r="C301" s="165"/>
      <c r="D301" s="165"/>
      <c r="E301" s="166"/>
      <c r="F301" s="166"/>
      <c r="G301" s="167"/>
      <c r="H301" s="165"/>
      <c r="I301" s="167"/>
      <c r="J301" s="167"/>
    </row>
    <row r="302" spans="2:10" s="13" customFormat="1">
      <c r="B302" s="165"/>
      <c r="C302" s="165"/>
      <c r="D302" s="165"/>
      <c r="E302" s="166"/>
      <c r="F302" s="166"/>
      <c r="G302" s="167"/>
      <c r="H302" s="165"/>
      <c r="I302" s="167"/>
      <c r="J302" s="167"/>
    </row>
    <row r="303" spans="2:10" s="13" customFormat="1">
      <c r="B303" s="165"/>
      <c r="C303" s="165"/>
      <c r="D303" s="165"/>
      <c r="E303" s="166"/>
      <c r="F303" s="166"/>
      <c r="G303" s="167"/>
      <c r="H303" s="165"/>
      <c r="I303" s="167"/>
      <c r="J303" s="167"/>
    </row>
    <row r="304" spans="2:10" s="13" customFormat="1">
      <c r="B304" s="165"/>
      <c r="C304" s="165"/>
      <c r="D304" s="165"/>
      <c r="E304" s="166"/>
      <c r="F304" s="166"/>
      <c r="G304" s="167"/>
      <c r="H304" s="165"/>
      <c r="I304" s="167"/>
      <c r="J304" s="167"/>
    </row>
    <row r="305" spans="2:10" s="13" customFormat="1">
      <c r="B305" s="165"/>
      <c r="C305" s="165"/>
      <c r="D305" s="165"/>
      <c r="E305" s="166"/>
      <c r="F305" s="166"/>
      <c r="G305" s="167"/>
      <c r="H305" s="165"/>
      <c r="I305" s="167"/>
      <c r="J305" s="167"/>
    </row>
    <row r="306" spans="2:10" s="13" customFormat="1">
      <c r="B306" s="165"/>
      <c r="C306" s="165"/>
      <c r="D306" s="165"/>
      <c r="E306" s="166"/>
      <c r="F306" s="166"/>
      <c r="G306" s="167"/>
      <c r="H306" s="165"/>
      <c r="I306" s="167"/>
      <c r="J306" s="167"/>
    </row>
    <row r="307" spans="2:10" s="13" customFormat="1">
      <c r="B307" s="165"/>
      <c r="C307" s="165"/>
      <c r="D307" s="165"/>
      <c r="E307" s="166"/>
      <c r="F307" s="166"/>
      <c r="G307" s="167"/>
      <c r="H307" s="165"/>
      <c r="I307" s="167"/>
      <c r="J307" s="167"/>
    </row>
    <row r="308" spans="2:10" s="13" customFormat="1">
      <c r="B308" s="165"/>
      <c r="C308" s="165"/>
      <c r="D308" s="165"/>
      <c r="E308" s="166"/>
      <c r="F308" s="166"/>
      <c r="G308" s="167"/>
      <c r="H308" s="165"/>
      <c r="I308" s="167"/>
      <c r="J308" s="167"/>
    </row>
    <row r="309" spans="2:10" s="13" customFormat="1">
      <c r="B309" s="165"/>
      <c r="C309" s="165"/>
      <c r="D309" s="165"/>
      <c r="E309" s="166"/>
      <c r="F309" s="166"/>
      <c r="G309" s="167"/>
      <c r="H309" s="165"/>
      <c r="I309" s="167"/>
      <c r="J309" s="167"/>
    </row>
    <row r="310" spans="2:10" s="13" customFormat="1">
      <c r="B310" s="165"/>
      <c r="C310" s="165"/>
      <c r="D310" s="165"/>
      <c r="E310" s="166"/>
      <c r="F310" s="166"/>
      <c r="G310" s="167"/>
      <c r="H310" s="165"/>
      <c r="I310" s="167"/>
      <c r="J310" s="167"/>
    </row>
    <row r="311" spans="2:10" s="13" customFormat="1">
      <c r="B311" s="165"/>
      <c r="C311" s="165"/>
      <c r="D311" s="165"/>
      <c r="E311" s="166"/>
      <c r="F311" s="166"/>
      <c r="G311" s="167"/>
      <c r="H311" s="165"/>
      <c r="I311" s="167"/>
      <c r="J311" s="167"/>
    </row>
    <row r="312" spans="2:10" s="13" customFormat="1">
      <c r="B312" s="165"/>
      <c r="C312" s="165"/>
      <c r="D312" s="165"/>
      <c r="E312" s="166"/>
      <c r="F312" s="166"/>
      <c r="G312" s="167"/>
      <c r="H312" s="165"/>
      <c r="I312" s="167"/>
      <c r="J312" s="167"/>
    </row>
    <row r="313" spans="2:10" s="13" customFormat="1">
      <c r="B313" s="165"/>
      <c r="C313" s="165"/>
      <c r="D313" s="165"/>
      <c r="E313" s="166"/>
      <c r="F313" s="166"/>
      <c r="G313" s="167"/>
      <c r="H313" s="165"/>
      <c r="I313" s="167"/>
      <c r="J313" s="167"/>
    </row>
    <row r="314" spans="2:10" s="13" customFormat="1">
      <c r="B314" s="165"/>
      <c r="C314" s="165"/>
      <c r="D314" s="165"/>
      <c r="E314" s="166"/>
      <c r="F314" s="166"/>
      <c r="G314" s="167"/>
      <c r="H314" s="165"/>
      <c r="I314" s="167"/>
      <c r="J314" s="167"/>
    </row>
    <row r="315" spans="2:10" s="13" customFormat="1">
      <c r="B315" s="165"/>
      <c r="C315" s="165"/>
      <c r="D315" s="165"/>
      <c r="E315" s="166"/>
      <c r="F315" s="166"/>
      <c r="G315" s="167"/>
      <c r="H315" s="165"/>
      <c r="I315" s="167"/>
      <c r="J315" s="167"/>
    </row>
    <row r="316" spans="2:10" s="13" customFormat="1">
      <c r="B316" s="165"/>
      <c r="C316" s="165"/>
      <c r="D316" s="165"/>
      <c r="E316" s="166"/>
      <c r="F316" s="166"/>
      <c r="G316" s="167"/>
      <c r="H316" s="165"/>
      <c r="I316" s="167"/>
      <c r="J316" s="167"/>
    </row>
    <row r="317" spans="2:10" s="13" customFormat="1">
      <c r="B317" s="165"/>
      <c r="C317" s="165"/>
      <c r="D317" s="165"/>
      <c r="E317" s="166"/>
      <c r="F317" s="166"/>
      <c r="G317" s="167"/>
      <c r="H317" s="165"/>
      <c r="I317" s="167"/>
      <c r="J317" s="167"/>
    </row>
    <row r="318" spans="2:10" s="13" customFormat="1">
      <c r="B318" s="165"/>
      <c r="C318" s="165"/>
      <c r="D318" s="165"/>
      <c r="E318" s="166"/>
      <c r="F318" s="166"/>
      <c r="G318" s="167"/>
      <c r="H318" s="165"/>
      <c r="I318" s="167"/>
      <c r="J318" s="167"/>
    </row>
    <row r="319" spans="2:10" s="13" customFormat="1">
      <c r="B319" s="165"/>
      <c r="C319" s="165"/>
      <c r="D319" s="165"/>
      <c r="E319" s="166"/>
      <c r="F319" s="166"/>
      <c r="G319" s="167"/>
      <c r="H319" s="165"/>
      <c r="I319" s="167"/>
      <c r="J319" s="167"/>
    </row>
    <row r="320" spans="2:10" s="13" customFormat="1">
      <c r="B320" s="165"/>
      <c r="C320" s="165"/>
      <c r="D320" s="165"/>
      <c r="E320" s="166"/>
      <c r="F320" s="166"/>
      <c r="G320" s="167"/>
      <c r="H320" s="165"/>
      <c r="I320" s="167"/>
      <c r="J320" s="167"/>
    </row>
    <row r="321" spans="2:10" s="13" customFormat="1">
      <c r="B321" s="165"/>
      <c r="C321" s="165"/>
      <c r="D321" s="165"/>
      <c r="E321" s="166"/>
      <c r="F321" s="166"/>
      <c r="G321" s="167"/>
      <c r="H321" s="165"/>
      <c r="I321" s="167"/>
      <c r="J321" s="167"/>
    </row>
    <row r="322" spans="2:10" s="13" customFormat="1">
      <c r="B322" s="165"/>
      <c r="C322" s="165"/>
      <c r="D322" s="165"/>
      <c r="E322" s="166"/>
      <c r="F322" s="166"/>
      <c r="G322" s="167"/>
      <c r="H322" s="165"/>
      <c r="I322" s="167"/>
      <c r="J322" s="167"/>
    </row>
    <row r="323" spans="2:10" s="13" customFormat="1">
      <c r="B323" s="165"/>
      <c r="C323" s="165"/>
      <c r="D323" s="165"/>
      <c r="E323" s="166"/>
      <c r="F323" s="166"/>
      <c r="G323" s="167"/>
      <c r="H323" s="165"/>
      <c r="I323" s="167"/>
      <c r="J323" s="167"/>
    </row>
    <row r="324" spans="2:10" s="13" customFormat="1">
      <c r="B324" s="165"/>
      <c r="C324" s="165"/>
      <c r="D324" s="165"/>
      <c r="E324" s="166"/>
      <c r="F324" s="166"/>
      <c r="G324" s="167"/>
      <c r="H324" s="165"/>
      <c r="I324" s="167"/>
      <c r="J324" s="167"/>
    </row>
    <row r="325" spans="2:10" s="13" customFormat="1">
      <c r="B325" s="165"/>
      <c r="C325" s="165"/>
      <c r="D325" s="165"/>
      <c r="E325" s="166"/>
      <c r="F325" s="166"/>
      <c r="G325" s="167"/>
      <c r="H325" s="165"/>
      <c r="I325" s="167"/>
      <c r="J325" s="167"/>
    </row>
    <row r="326" spans="2:10" s="13" customFormat="1">
      <c r="B326" s="165"/>
      <c r="C326" s="165"/>
      <c r="D326" s="165"/>
      <c r="E326" s="166"/>
      <c r="F326" s="166"/>
      <c r="G326" s="167"/>
      <c r="H326" s="165"/>
      <c r="I326" s="167"/>
      <c r="J326" s="167"/>
    </row>
    <row r="327" spans="2:10" s="13" customFormat="1">
      <c r="B327" s="165"/>
      <c r="C327" s="165"/>
      <c r="D327" s="165"/>
      <c r="E327" s="166"/>
      <c r="F327" s="166"/>
      <c r="G327" s="167"/>
      <c r="H327" s="165"/>
      <c r="I327" s="167"/>
      <c r="J327" s="167"/>
    </row>
    <row r="328" spans="2:10" s="13" customFormat="1">
      <c r="B328" s="165"/>
      <c r="C328" s="165"/>
      <c r="D328" s="165"/>
      <c r="E328" s="166"/>
      <c r="F328" s="166"/>
      <c r="G328" s="167"/>
      <c r="H328" s="165"/>
      <c r="I328" s="167"/>
      <c r="J328" s="167"/>
    </row>
    <row r="329" spans="2:10" s="13" customFormat="1">
      <c r="B329" s="165"/>
      <c r="C329" s="165"/>
      <c r="D329" s="165"/>
      <c r="E329" s="166"/>
      <c r="F329" s="166"/>
      <c r="G329" s="167"/>
      <c r="H329" s="165"/>
      <c r="I329" s="167"/>
      <c r="J329" s="167"/>
    </row>
    <row r="330" spans="2:10" s="13" customFormat="1">
      <c r="B330" s="165"/>
      <c r="C330" s="165"/>
      <c r="D330" s="165"/>
      <c r="E330" s="166"/>
      <c r="F330" s="166"/>
      <c r="G330" s="167"/>
      <c r="H330" s="165"/>
      <c r="I330" s="167"/>
      <c r="J330" s="167"/>
    </row>
    <row r="331" spans="2:10" s="13" customFormat="1">
      <c r="B331" s="165"/>
      <c r="C331" s="165"/>
      <c r="D331" s="165"/>
      <c r="E331" s="166"/>
      <c r="F331" s="166"/>
      <c r="G331" s="167"/>
      <c r="H331" s="165"/>
      <c r="I331" s="167"/>
      <c r="J331" s="167"/>
    </row>
    <row r="332" spans="2:10" s="13" customFormat="1">
      <c r="B332" s="165"/>
      <c r="C332" s="165"/>
      <c r="D332" s="165"/>
      <c r="E332" s="166"/>
      <c r="F332" s="166"/>
      <c r="G332" s="167"/>
      <c r="H332" s="165"/>
      <c r="I332" s="167"/>
      <c r="J332" s="167"/>
    </row>
    <row r="333" spans="2:10" s="13" customFormat="1">
      <c r="B333" s="165"/>
      <c r="C333" s="165"/>
      <c r="D333" s="165"/>
      <c r="E333" s="166"/>
      <c r="F333" s="166"/>
      <c r="G333" s="167"/>
      <c r="H333" s="165"/>
      <c r="I333" s="167"/>
      <c r="J333" s="167"/>
    </row>
    <row r="334" spans="2:10" s="13" customFormat="1">
      <c r="B334" s="165"/>
      <c r="C334" s="165"/>
      <c r="D334" s="165"/>
      <c r="E334" s="166"/>
      <c r="F334" s="166"/>
      <c r="G334" s="167"/>
      <c r="H334" s="165"/>
      <c r="I334" s="167"/>
      <c r="J334" s="167"/>
    </row>
    <row r="335" spans="2:10" s="13" customFormat="1">
      <c r="B335" s="165"/>
      <c r="C335" s="165"/>
      <c r="D335" s="165"/>
      <c r="E335" s="166"/>
      <c r="F335" s="166"/>
      <c r="G335" s="167"/>
      <c r="H335" s="165"/>
      <c r="I335" s="167"/>
      <c r="J335" s="167"/>
    </row>
    <row r="336" spans="2:10" s="13" customFormat="1">
      <c r="B336" s="165"/>
      <c r="C336" s="165"/>
      <c r="D336" s="165"/>
      <c r="E336" s="166"/>
      <c r="F336" s="166"/>
      <c r="G336" s="167"/>
      <c r="H336" s="165"/>
      <c r="I336" s="167"/>
      <c r="J336" s="167"/>
    </row>
    <row r="337" spans="2:10" s="13" customFormat="1">
      <c r="B337" s="165"/>
      <c r="C337" s="165"/>
      <c r="D337" s="165"/>
      <c r="E337" s="166"/>
      <c r="F337" s="166"/>
      <c r="G337" s="167"/>
      <c r="H337" s="165"/>
      <c r="I337" s="167"/>
      <c r="J337" s="167"/>
    </row>
    <row r="338" spans="2:10" s="13" customFormat="1">
      <c r="B338" s="165"/>
      <c r="C338" s="165"/>
      <c r="D338" s="165"/>
      <c r="E338" s="166"/>
      <c r="F338" s="166"/>
      <c r="G338" s="167"/>
      <c r="H338" s="165"/>
      <c r="I338" s="167"/>
      <c r="J338" s="167"/>
    </row>
    <row r="339" spans="2:10" s="13" customFormat="1">
      <c r="B339" s="165"/>
      <c r="C339" s="165"/>
      <c r="D339" s="165"/>
      <c r="E339" s="166"/>
      <c r="F339" s="166"/>
      <c r="G339" s="167"/>
      <c r="H339" s="165"/>
      <c r="I339" s="167"/>
      <c r="J339" s="167"/>
    </row>
    <row r="340" spans="2:10" s="13" customFormat="1">
      <c r="B340" s="165"/>
      <c r="C340" s="165"/>
      <c r="D340" s="165"/>
      <c r="E340" s="166"/>
      <c r="F340" s="166"/>
      <c r="G340" s="167"/>
      <c r="H340" s="165"/>
      <c r="I340" s="167"/>
      <c r="J340" s="167"/>
    </row>
    <row r="341" spans="2:10" s="13" customFormat="1">
      <c r="B341" s="165"/>
      <c r="C341" s="165"/>
      <c r="D341" s="165"/>
      <c r="E341" s="166"/>
      <c r="F341" s="166"/>
      <c r="G341" s="167"/>
      <c r="H341" s="165"/>
      <c r="I341" s="167"/>
      <c r="J341" s="167"/>
    </row>
    <row r="342" spans="2:10" s="13" customFormat="1">
      <c r="B342" s="165"/>
      <c r="C342" s="165"/>
      <c r="D342" s="165"/>
      <c r="E342" s="166"/>
      <c r="F342" s="166"/>
      <c r="G342" s="167"/>
      <c r="H342" s="165"/>
      <c r="I342" s="167"/>
      <c r="J342" s="167"/>
    </row>
    <row r="343" spans="2:10" s="13" customFormat="1">
      <c r="B343" s="165"/>
      <c r="C343" s="165"/>
      <c r="D343" s="165"/>
      <c r="E343" s="166"/>
      <c r="F343" s="166"/>
      <c r="G343" s="167"/>
      <c r="H343" s="165"/>
      <c r="I343" s="167"/>
      <c r="J343" s="167"/>
    </row>
    <row r="344" spans="2:10" s="13" customFormat="1">
      <c r="B344" s="165"/>
      <c r="C344" s="165"/>
      <c r="D344" s="165"/>
      <c r="E344" s="166"/>
      <c r="F344" s="166"/>
      <c r="G344" s="167"/>
      <c r="H344" s="165"/>
      <c r="I344" s="167"/>
      <c r="J344" s="167"/>
    </row>
    <row r="345" spans="2:10" s="13" customFormat="1">
      <c r="B345" s="165"/>
      <c r="C345" s="165"/>
      <c r="D345" s="165"/>
      <c r="E345" s="166"/>
      <c r="F345" s="166"/>
      <c r="G345" s="167"/>
      <c r="H345" s="165"/>
      <c r="I345" s="167"/>
      <c r="J345" s="167"/>
    </row>
    <row r="346" spans="2:10" s="13" customFormat="1">
      <c r="B346" s="165"/>
      <c r="C346" s="165"/>
      <c r="D346" s="165"/>
      <c r="E346" s="166"/>
      <c r="F346" s="166"/>
      <c r="G346" s="167"/>
      <c r="H346" s="165"/>
      <c r="I346" s="167"/>
      <c r="J346" s="167"/>
    </row>
    <row r="347" spans="2:10" s="13" customFormat="1">
      <c r="B347" s="165"/>
      <c r="C347" s="165"/>
      <c r="D347" s="165"/>
      <c r="E347" s="166"/>
      <c r="F347" s="166"/>
      <c r="G347" s="167"/>
      <c r="H347" s="165"/>
      <c r="I347" s="167"/>
      <c r="J347" s="167"/>
    </row>
    <row r="348" spans="2:10" s="13" customFormat="1">
      <c r="B348" s="165"/>
      <c r="C348" s="165"/>
      <c r="D348" s="165"/>
      <c r="E348" s="166"/>
      <c r="F348" s="166"/>
      <c r="G348" s="167"/>
      <c r="H348" s="165"/>
      <c r="I348" s="167"/>
      <c r="J348" s="167"/>
    </row>
    <row r="349" spans="2:10" s="13" customFormat="1">
      <c r="B349" s="165"/>
      <c r="C349" s="165"/>
      <c r="D349" s="165"/>
      <c r="E349" s="166"/>
      <c r="F349" s="166"/>
      <c r="G349" s="167"/>
      <c r="H349" s="165"/>
      <c r="I349" s="167"/>
      <c r="J349" s="167"/>
    </row>
    <row r="350" spans="2:10" s="13" customFormat="1">
      <c r="B350" s="165"/>
      <c r="C350" s="165"/>
      <c r="D350" s="165"/>
      <c r="E350" s="166"/>
      <c r="F350" s="166"/>
      <c r="G350" s="167"/>
      <c r="H350" s="165"/>
      <c r="I350" s="167"/>
      <c r="J350" s="167"/>
    </row>
    <row r="351" spans="2:10" s="13" customFormat="1">
      <c r="B351" s="165"/>
      <c r="C351" s="165"/>
      <c r="D351" s="165"/>
      <c r="E351" s="166"/>
      <c r="F351" s="166"/>
      <c r="G351" s="167"/>
      <c r="H351" s="165"/>
      <c r="I351" s="167"/>
      <c r="J351" s="167"/>
    </row>
    <row r="352" spans="2:10" s="13" customFormat="1">
      <c r="B352" s="165"/>
      <c r="C352" s="165"/>
      <c r="D352" s="165"/>
      <c r="E352" s="166"/>
      <c r="F352" s="166"/>
      <c r="G352" s="167"/>
      <c r="H352" s="165"/>
      <c r="I352" s="167"/>
      <c r="J352" s="167"/>
    </row>
    <row r="353" spans="2:10" s="13" customFormat="1">
      <c r="B353" s="165"/>
      <c r="C353" s="165"/>
      <c r="D353" s="165"/>
      <c r="E353" s="166"/>
      <c r="F353" s="166"/>
      <c r="G353" s="167"/>
      <c r="H353" s="165"/>
      <c r="I353" s="167"/>
      <c r="J353" s="167"/>
    </row>
    <row r="354" spans="2:10" s="13" customFormat="1">
      <c r="B354" s="165"/>
      <c r="C354" s="165"/>
      <c r="D354" s="165"/>
      <c r="E354" s="166"/>
      <c r="F354" s="166"/>
      <c r="G354" s="167"/>
      <c r="H354" s="165"/>
      <c r="I354" s="167"/>
      <c r="J354" s="167"/>
    </row>
    <row r="355" spans="2:10" s="13" customFormat="1">
      <c r="B355" s="165"/>
      <c r="C355" s="165"/>
      <c r="D355" s="165"/>
      <c r="E355" s="166"/>
      <c r="F355" s="166"/>
      <c r="G355" s="167"/>
      <c r="H355" s="165"/>
      <c r="I355" s="167"/>
      <c r="J355" s="167"/>
    </row>
    <row r="356" spans="2:10" s="13" customFormat="1">
      <c r="B356" s="165"/>
      <c r="C356" s="165"/>
      <c r="D356" s="165"/>
      <c r="E356" s="166"/>
      <c r="F356" s="166"/>
      <c r="G356" s="167"/>
      <c r="H356" s="165"/>
      <c r="I356" s="167"/>
      <c r="J356" s="167"/>
    </row>
    <row r="357" spans="2:10" s="176" customFormat="1">
      <c r="B357" s="174"/>
      <c r="C357" s="174"/>
      <c r="D357" s="174"/>
      <c r="E357" s="164"/>
      <c r="F357" s="164"/>
      <c r="G357" s="163"/>
      <c r="H357" s="174"/>
      <c r="I357" s="163"/>
      <c r="J357" s="163"/>
    </row>
    <row r="358" spans="2:10" s="176" customFormat="1">
      <c r="B358" s="174"/>
      <c r="C358" s="174"/>
      <c r="D358" s="174"/>
      <c r="E358" s="164"/>
      <c r="F358" s="164"/>
      <c r="G358" s="163"/>
      <c r="H358" s="174"/>
      <c r="I358" s="163"/>
      <c r="J358" s="163"/>
    </row>
    <row r="359" spans="2:10" s="13" customFormat="1">
      <c r="B359" s="165"/>
      <c r="C359" s="165"/>
      <c r="D359" s="165"/>
      <c r="E359" s="166"/>
      <c r="F359" s="166"/>
      <c r="G359" s="167"/>
      <c r="H359" s="165"/>
      <c r="I359" s="167"/>
      <c r="J359" s="167"/>
    </row>
    <row r="360" spans="2:10" s="13" customFormat="1">
      <c r="B360" s="165"/>
      <c r="C360" s="165"/>
      <c r="D360" s="165"/>
      <c r="E360" s="166"/>
      <c r="F360" s="166"/>
      <c r="G360" s="167"/>
      <c r="H360" s="165"/>
      <c r="I360" s="167"/>
      <c r="J360" s="167"/>
    </row>
    <row r="361" spans="2:10" s="13" customFormat="1">
      <c r="B361" s="165"/>
      <c r="C361" s="165"/>
      <c r="D361" s="165"/>
      <c r="E361" s="166"/>
      <c r="F361" s="166"/>
      <c r="G361" s="167"/>
      <c r="H361" s="165"/>
      <c r="I361" s="167"/>
      <c r="J361" s="167"/>
    </row>
    <row r="362" spans="2:10" s="13" customFormat="1">
      <c r="B362" s="165"/>
      <c r="C362" s="165"/>
      <c r="D362" s="165"/>
      <c r="E362" s="166"/>
      <c r="F362" s="166"/>
      <c r="G362" s="167"/>
      <c r="H362" s="165"/>
      <c r="I362" s="167"/>
      <c r="J362" s="167"/>
    </row>
    <row r="363" spans="2:10" s="13" customFormat="1">
      <c r="B363" s="165"/>
      <c r="C363" s="165"/>
      <c r="D363" s="165"/>
      <c r="E363" s="166"/>
      <c r="F363" s="166"/>
      <c r="G363" s="167"/>
      <c r="H363" s="165"/>
      <c r="I363" s="167"/>
      <c r="J363" s="167"/>
    </row>
    <row r="364" spans="2:10" s="13" customFormat="1">
      <c r="B364" s="165"/>
      <c r="C364" s="165"/>
      <c r="D364" s="165"/>
      <c r="E364" s="166"/>
      <c r="F364" s="166"/>
      <c r="G364" s="167"/>
      <c r="H364" s="165"/>
      <c r="I364" s="167"/>
      <c r="J364" s="167"/>
    </row>
    <row r="365" spans="2:10" s="13" customFormat="1">
      <c r="B365" s="165"/>
      <c r="C365" s="165"/>
      <c r="D365" s="165"/>
      <c r="E365" s="166"/>
      <c r="F365" s="166"/>
      <c r="G365" s="167"/>
      <c r="H365" s="165"/>
      <c r="I365" s="167"/>
      <c r="J365" s="167"/>
    </row>
    <row r="366" spans="2:10" s="13" customFormat="1">
      <c r="B366" s="165"/>
      <c r="C366" s="165"/>
      <c r="D366" s="165"/>
      <c r="E366" s="166"/>
      <c r="F366" s="166"/>
      <c r="G366" s="167"/>
      <c r="H366" s="165"/>
      <c r="I366" s="167"/>
      <c r="J366" s="167"/>
    </row>
    <row r="367" spans="2:10" s="13" customFormat="1">
      <c r="B367" s="165"/>
      <c r="C367" s="165"/>
      <c r="D367" s="165"/>
      <c r="E367" s="166"/>
      <c r="F367" s="166"/>
      <c r="G367" s="167"/>
      <c r="H367" s="165"/>
      <c r="I367" s="167"/>
      <c r="J367" s="167"/>
    </row>
    <row r="368" spans="2:10" s="13" customFormat="1">
      <c r="B368" s="75"/>
      <c r="E368" s="177"/>
      <c r="F368" s="177"/>
    </row>
    <row r="369" spans="2:10" s="13" customFormat="1">
      <c r="B369" s="165"/>
      <c r="C369" s="165"/>
      <c r="D369" s="165"/>
      <c r="E369" s="166"/>
      <c r="F369" s="166"/>
      <c r="G369" s="167"/>
      <c r="H369" s="165"/>
      <c r="I369" s="167"/>
      <c r="J369" s="167"/>
    </row>
    <row r="370" spans="2:10" s="13" customFormat="1">
      <c r="B370" s="165"/>
      <c r="C370" s="165"/>
      <c r="D370" s="165"/>
      <c r="E370" s="166"/>
      <c r="F370" s="166"/>
      <c r="G370" s="167"/>
      <c r="H370" s="165"/>
      <c r="I370" s="167"/>
      <c r="J370" s="167"/>
    </row>
    <row r="371" spans="2:10" s="13" customFormat="1">
      <c r="B371" s="165"/>
      <c r="C371" s="165"/>
      <c r="D371" s="165"/>
      <c r="E371" s="166"/>
      <c r="F371" s="166"/>
      <c r="G371" s="167"/>
      <c r="H371" s="165"/>
      <c r="I371" s="167"/>
      <c r="J371" s="167"/>
    </row>
    <row r="372" spans="2:10" s="13" customFormat="1">
      <c r="E372" s="177"/>
      <c r="F372" s="177"/>
    </row>
    <row r="373" spans="2:10" s="13" customFormat="1">
      <c r="B373" s="165"/>
      <c r="C373" s="165"/>
      <c r="D373" s="165"/>
      <c r="E373" s="166"/>
      <c r="F373" s="166"/>
      <c r="G373" s="167"/>
      <c r="H373" s="165"/>
      <c r="I373" s="167"/>
      <c r="J373" s="167"/>
    </row>
    <row r="374" spans="2:10" s="13" customFormat="1">
      <c r="B374" s="165"/>
      <c r="C374" s="165"/>
      <c r="D374" s="165"/>
      <c r="E374" s="166"/>
      <c r="F374" s="166"/>
      <c r="G374" s="167"/>
      <c r="H374" s="165"/>
      <c r="I374" s="167"/>
      <c r="J374" s="167"/>
    </row>
    <row r="375" spans="2:10" s="13" customFormat="1">
      <c r="B375" s="165"/>
      <c r="C375" s="165"/>
      <c r="D375" s="165"/>
      <c r="E375" s="166"/>
      <c r="F375" s="166"/>
      <c r="G375" s="167"/>
      <c r="H375" s="165"/>
      <c r="I375" s="167"/>
      <c r="J375" s="167"/>
    </row>
    <row r="376" spans="2:10" s="13" customFormat="1">
      <c r="B376" s="165"/>
      <c r="C376" s="165"/>
      <c r="D376" s="165"/>
      <c r="E376" s="166"/>
      <c r="F376" s="166"/>
      <c r="G376" s="167"/>
      <c r="H376" s="165"/>
      <c r="I376" s="167"/>
      <c r="J376" s="167"/>
    </row>
    <row r="377" spans="2:10" s="13" customFormat="1">
      <c r="B377" s="165"/>
      <c r="C377" s="165"/>
      <c r="D377" s="165"/>
      <c r="E377" s="166"/>
      <c r="F377" s="166"/>
      <c r="G377" s="167"/>
      <c r="H377" s="165"/>
      <c r="I377" s="167"/>
      <c r="J377" s="167"/>
    </row>
    <row r="378" spans="2:10" s="13" customFormat="1">
      <c r="B378" s="165"/>
      <c r="C378" s="165"/>
      <c r="D378" s="165"/>
      <c r="E378" s="166"/>
      <c r="F378" s="166"/>
      <c r="G378" s="167"/>
      <c r="H378" s="165"/>
      <c r="I378" s="167"/>
      <c r="J378" s="167"/>
    </row>
    <row r="379" spans="2:10" s="13" customFormat="1">
      <c r="B379" s="165"/>
      <c r="C379" s="165"/>
      <c r="D379" s="165"/>
      <c r="E379" s="166"/>
      <c r="F379" s="166"/>
      <c r="G379" s="167"/>
      <c r="H379" s="165"/>
      <c r="I379" s="167"/>
      <c r="J379" s="167"/>
    </row>
    <row r="380" spans="2:10" s="13" customFormat="1">
      <c r="B380" s="165"/>
      <c r="C380" s="165"/>
      <c r="D380" s="165"/>
      <c r="E380" s="166"/>
      <c r="F380" s="166"/>
      <c r="G380" s="167"/>
      <c r="H380" s="165"/>
      <c r="I380" s="167"/>
      <c r="J380" s="167"/>
    </row>
    <row r="381" spans="2:10" s="13" customFormat="1">
      <c r="B381" s="165"/>
      <c r="C381" s="165"/>
      <c r="D381" s="165"/>
      <c r="E381" s="166"/>
      <c r="F381" s="166"/>
      <c r="G381" s="167"/>
      <c r="H381" s="165"/>
      <c r="I381" s="167"/>
      <c r="J381" s="167"/>
    </row>
    <row r="382" spans="2:10" s="13" customFormat="1">
      <c r="B382" s="165"/>
      <c r="C382" s="165"/>
      <c r="D382" s="165"/>
      <c r="E382" s="166"/>
      <c r="F382" s="166"/>
      <c r="G382" s="167"/>
      <c r="H382" s="165"/>
      <c r="I382" s="167"/>
      <c r="J382" s="167"/>
    </row>
    <row r="383" spans="2:10" s="13" customFormat="1">
      <c r="B383" s="165"/>
      <c r="C383" s="165"/>
      <c r="D383" s="165"/>
      <c r="E383" s="166"/>
      <c r="F383" s="166"/>
      <c r="G383" s="167"/>
      <c r="H383" s="165"/>
      <c r="I383" s="167"/>
      <c r="J383" s="167"/>
    </row>
    <row r="384" spans="2:10" s="13" customFormat="1">
      <c r="B384" s="165"/>
      <c r="C384" s="165"/>
      <c r="D384" s="165"/>
      <c r="E384" s="166"/>
      <c r="F384" s="166"/>
      <c r="G384" s="167"/>
      <c r="H384" s="165"/>
      <c r="I384" s="167"/>
      <c r="J384" s="167"/>
    </row>
    <row r="385" spans="2:10" s="13" customFormat="1">
      <c r="B385" s="165"/>
      <c r="C385" s="165"/>
      <c r="D385" s="165"/>
      <c r="E385" s="166"/>
      <c r="F385" s="166"/>
      <c r="G385" s="167"/>
      <c r="H385" s="165"/>
      <c r="I385" s="167"/>
      <c r="J385" s="167"/>
    </row>
    <row r="386" spans="2:10" s="13" customFormat="1">
      <c r="B386" s="165"/>
      <c r="C386" s="165"/>
      <c r="D386" s="165"/>
      <c r="E386" s="166"/>
      <c r="F386" s="166"/>
      <c r="G386" s="167"/>
      <c r="H386" s="165"/>
      <c r="I386" s="167"/>
      <c r="J386" s="167"/>
    </row>
    <row r="387" spans="2:10" s="13" customFormat="1">
      <c r="B387" s="165"/>
      <c r="C387" s="165"/>
      <c r="D387" s="165"/>
      <c r="E387" s="166"/>
      <c r="F387" s="166"/>
      <c r="G387" s="167"/>
      <c r="H387" s="165"/>
      <c r="I387" s="167"/>
      <c r="J387" s="167"/>
    </row>
    <row r="388" spans="2:10" s="13" customFormat="1">
      <c r="B388" s="165"/>
      <c r="C388" s="165"/>
      <c r="D388" s="165"/>
      <c r="E388" s="166"/>
      <c r="F388" s="166"/>
      <c r="G388" s="167"/>
      <c r="H388" s="165"/>
      <c r="I388" s="167"/>
      <c r="J388" s="167"/>
    </row>
    <row r="389" spans="2:10" s="13" customFormat="1">
      <c r="B389" s="165"/>
      <c r="C389" s="165"/>
      <c r="D389" s="165"/>
      <c r="E389" s="166"/>
      <c r="F389" s="166"/>
      <c r="G389" s="167"/>
      <c r="H389" s="165"/>
      <c r="I389" s="167"/>
      <c r="J389" s="167"/>
    </row>
    <row r="390" spans="2:10" s="13" customFormat="1">
      <c r="B390" s="165"/>
      <c r="C390" s="165"/>
      <c r="D390" s="165"/>
      <c r="E390" s="166"/>
      <c r="F390" s="166"/>
      <c r="G390" s="167"/>
      <c r="H390" s="165"/>
      <c r="I390" s="167"/>
      <c r="J390" s="167"/>
    </row>
    <row r="391" spans="2:10" s="13" customFormat="1">
      <c r="B391" s="165"/>
      <c r="C391" s="165"/>
      <c r="D391" s="165"/>
      <c r="E391" s="166"/>
      <c r="F391" s="166"/>
      <c r="G391" s="167"/>
      <c r="H391" s="165"/>
      <c r="I391" s="167"/>
      <c r="J391" s="167"/>
    </row>
    <row r="392" spans="2:10" s="13" customFormat="1">
      <c r="B392" s="165"/>
      <c r="C392" s="165"/>
      <c r="D392" s="165"/>
      <c r="E392" s="166"/>
      <c r="F392" s="166"/>
      <c r="G392" s="167"/>
      <c r="H392" s="165"/>
      <c r="I392" s="167"/>
      <c r="J392" s="167"/>
    </row>
    <row r="393" spans="2:10" s="13" customFormat="1">
      <c r="B393" s="165"/>
      <c r="C393" s="165"/>
      <c r="D393" s="165"/>
      <c r="E393" s="166"/>
      <c r="F393" s="166"/>
      <c r="G393" s="167"/>
      <c r="H393" s="165"/>
      <c r="I393" s="167"/>
      <c r="J393" s="167"/>
    </row>
    <row r="394" spans="2:10" s="13" customFormat="1">
      <c r="B394" s="165"/>
      <c r="C394" s="165"/>
      <c r="D394" s="165"/>
      <c r="E394" s="166"/>
      <c r="F394" s="166"/>
      <c r="G394" s="167"/>
      <c r="H394" s="165"/>
      <c r="I394" s="167"/>
      <c r="J394" s="167"/>
    </row>
    <row r="395" spans="2:10" s="13" customFormat="1">
      <c r="B395" s="165"/>
      <c r="C395" s="165"/>
      <c r="D395" s="165"/>
      <c r="E395" s="166"/>
      <c r="F395" s="166"/>
      <c r="G395" s="167"/>
      <c r="H395" s="165"/>
      <c r="I395" s="167"/>
      <c r="J395" s="167"/>
    </row>
    <row r="396" spans="2:10" s="13" customFormat="1">
      <c r="B396" s="165"/>
      <c r="C396" s="165"/>
      <c r="D396" s="165"/>
      <c r="E396" s="166"/>
      <c r="F396" s="166"/>
      <c r="G396" s="167"/>
      <c r="H396" s="165"/>
      <c r="I396" s="167"/>
      <c r="J396" s="167"/>
    </row>
    <row r="397" spans="2:10" s="13" customFormat="1">
      <c r="B397" s="165"/>
      <c r="C397" s="165"/>
      <c r="D397" s="165"/>
      <c r="E397" s="166"/>
      <c r="F397" s="166"/>
      <c r="G397" s="167"/>
      <c r="H397" s="165"/>
      <c r="I397" s="167"/>
      <c r="J397" s="167"/>
    </row>
    <row r="398" spans="2:10" s="13" customFormat="1">
      <c r="B398" s="165"/>
      <c r="C398" s="165"/>
      <c r="D398" s="165"/>
      <c r="E398" s="166"/>
      <c r="F398" s="166"/>
      <c r="G398" s="167"/>
      <c r="H398" s="165"/>
      <c r="I398" s="167"/>
      <c r="J398" s="167"/>
    </row>
    <row r="399" spans="2:10" s="13" customFormat="1">
      <c r="B399" s="165"/>
      <c r="C399" s="165"/>
      <c r="D399" s="165"/>
      <c r="E399" s="166"/>
      <c r="F399" s="166"/>
      <c r="G399" s="167"/>
      <c r="H399" s="165"/>
      <c r="I399" s="167"/>
      <c r="J399" s="167"/>
    </row>
    <row r="400" spans="2:10" s="13" customFormat="1">
      <c r="B400" s="165"/>
      <c r="C400" s="165"/>
      <c r="D400" s="165"/>
      <c r="E400" s="166"/>
      <c r="F400" s="166"/>
      <c r="G400" s="167"/>
      <c r="H400" s="165"/>
      <c r="I400" s="167"/>
      <c r="J400" s="167"/>
    </row>
    <row r="401" spans="2:10" s="13" customFormat="1">
      <c r="B401" s="165"/>
      <c r="C401" s="165"/>
      <c r="D401" s="165"/>
      <c r="E401" s="166"/>
      <c r="F401" s="166"/>
      <c r="G401" s="167"/>
      <c r="H401" s="165"/>
      <c r="I401" s="167"/>
      <c r="J401" s="167"/>
    </row>
    <row r="402" spans="2:10" s="13" customFormat="1">
      <c r="B402" s="165"/>
      <c r="C402" s="165"/>
      <c r="D402" s="165"/>
      <c r="E402" s="166"/>
      <c r="F402" s="166"/>
      <c r="G402" s="167"/>
      <c r="H402" s="165"/>
      <c r="I402" s="167"/>
      <c r="J402" s="167"/>
    </row>
    <row r="403" spans="2:10" s="13" customFormat="1">
      <c r="B403" s="165"/>
      <c r="C403" s="165"/>
      <c r="D403" s="165"/>
      <c r="E403" s="166"/>
      <c r="F403" s="166"/>
      <c r="G403" s="167"/>
      <c r="H403" s="165"/>
      <c r="I403" s="167"/>
      <c r="J403" s="167"/>
    </row>
    <row r="404" spans="2:10" s="13" customFormat="1">
      <c r="B404" s="165"/>
      <c r="C404" s="165"/>
      <c r="D404" s="165"/>
      <c r="E404" s="166"/>
      <c r="F404" s="166"/>
      <c r="G404" s="167"/>
      <c r="H404" s="165"/>
      <c r="I404" s="167"/>
      <c r="J404" s="167"/>
    </row>
    <row r="405" spans="2:10" s="13" customFormat="1">
      <c r="B405" s="165"/>
      <c r="C405" s="165"/>
      <c r="D405" s="165"/>
      <c r="E405" s="166"/>
      <c r="F405" s="166"/>
      <c r="G405" s="167"/>
      <c r="H405" s="165"/>
      <c r="I405" s="167"/>
      <c r="J405" s="167"/>
    </row>
    <row r="406" spans="2:10" s="13" customFormat="1">
      <c r="B406" s="165"/>
      <c r="C406" s="165"/>
      <c r="D406" s="165"/>
      <c r="E406" s="166"/>
      <c r="F406" s="166"/>
      <c r="G406" s="167"/>
      <c r="H406" s="165"/>
      <c r="I406" s="167"/>
      <c r="J406" s="167"/>
    </row>
    <row r="407" spans="2:10" s="13" customFormat="1">
      <c r="B407" s="165"/>
      <c r="C407" s="165"/>
      <c r="D407" s="165"/>
      <c r="E407" s="166"/>
      <c r="F407" s="166"/>
      <c r="G407" s="167"/>
      <c r="H407" s="165"/>
      <c r="I407" s="167"/>
      <c r="J407" s="167"/>
    </row>
    <row r="408" spans="2:10" s="13" customFormat="1">
      <c r="B408" s="165"/>
      <c r="C408" s="165"/>
      <c r="D408" s="165"/>
      <c r="E408" s="166"/>
      <c r="F408" s="166"/>
      <c r="G408" s="167"/>
      <c r="H408" s="165"/>
      <c r="I408" s="167"/>
      <c r="J408" s="167"/>
    </row>
    <row r="409" spans="2:10" s="13" customFormat="1">
      <c r="B409" s="165"/>
      <c r="C409" s="165"/>
      <c r="D409" s="165"/>
      <c r="E409" s="166"/>
      <c r="F409" s="166"/>
      <c r="G409" s="167"/>
      <c r="H409" s="165"/>
      <c r="I409" s="167"/>
      <c r="J409" s="167"/>
    </row>
    <row r="410" spans="2:10" s="13" customFormat="1">
      <c r="B410" s="165"/>
      <c r="C410" s="165"/>
      <c r="D410" s="165"/>
      <c r="E410" s="166"/>
      <c r="F410" s="166"/>
      <c r="G410" s="167"/>
      <c r="H410" s="165"/>
      <c r="I410" s="167"/>
      <c r="J410" s="167"/>
    </row>
    <row r="411" spans="2:10" s="13" customFormat="1">
      <c r="B411" s="165"/>
      <c r="C411" s="165"/>
      <c r="D411" s="165"/>
      <c r="E411" s="166"/>
      <c r="F411" s="166"/>
      <c r="G411" s="167"/>
      <c r="H411" s="165"/>
      <c r="I411" s="167"/>
      <c r="J411" s="167"/>
    </row>
    <row r="412" spans="2:10" s="13" customFormat="1">
      <c r="B412" s="165"/>
      <c r="C412" s="165"/>
      <c r="D412" s="165"/>
      <c r="E412" s="166"/>
      <c r="F412" s="166"/>
      <c r="G412" s="167"/>
      <c r="H412" s="165"/>
      <c r="I412" s="167"/>
      <c r="J412" s="167"/>
    </row>
    <row r="413" spans="2:10" s="13" customFormat="1">
      <c r="B413" s="165"/>
      <c r="C413" s="165"/>
      <c r="D413" s="165"/>
      <c r="E413" s="166"/>
      <c r="F413" s="166"/>
      <c r="G413" s="167"/>
      <c r="H413" s="165"/>
      <c r="I413" s="167"/>
      <c r="J413" s="167"/>
    </row>
    <row r="414" spans="2:10" s="13" customFormat="1">
      <c r="B414" s="165"/>
      <c r="C414" s="165"/>
      <c r="D414" s="165"/>
      <c r="E414" s="166"/>
      <c r="F414" s="166"/>
      <c r="G414" s="167"/>
      <c r="H414" s="165"/>
      <c r="I414" s="167"/>
      <c r="J414" s="167"/>
    </row>
    <row r="415" spans="2:10" s="13" customFormat="1">
      <c r="B415" s="165"/>
      <c r="C415" s="165"/>
      <c r="D415" s="165"/>
      <c r="E415" s="166"/>
      <c r="F415" s="166"/>
      <c r="G415" s="167"/>
      <c r="H415" s="165"/>
      <c r="I415" s="167"/>
      <c r="J415" s="167"/>
    </row>
    <row r="416" spans="2:10" s="13" customFormat="1">
      <c r="B416" s="165"/>
      <c r="C416" s="165"/>
      <c r="D416" s="165"/>
      <c r="E416" s="166"/>
      <c r="F416" s="166"/>
      <c r="G416" s="167"/>
      <c r="H416" s="165"/>
      <c r="I416" s="167"/>
      <c r="J416" s="167"/>
    </row>
    <row r="417" spans="2:10" s="13" customFormat="1">
      <c r="B417" s="165"/>
      <c r="C417" s="165"/>
      <c r="D417" s="165"/>
      <c r="E417" s="166"/>
      <c r="F417" s="166"/>
      <c r="G417" s="167"/>
      <c r="H417" s="165"/>
      <c r="I417" s="167"/>
      <c r="J417" s="167"/>
    </row>
    <row r="418" spans="2:10" s="13" customFormat="1">
      <c r="B418" s="165"/>
      <c r="C418" s="165"/>
      <c r="D418" s="165"/>
      <c r="E418" s="166"/>
      <c r="F418" s="166"/>
      <c r="G418" s="167"/>
      <c r="H418" s="165"/>
      <c r="I418" s="167"/>
      <c r="J418" s="167"/>
    </row>
    <row r="419" spans="2:10" s="13" customFormat="1">
      <c r="B419" s="165"/>
      <c r="C419" s="165"/>
      <c r="D419" s="165"/>
      <c r="E419" s="166"/>
      <c r="F419" s="166"/>
      <c r="G419" s="167"/>
      <c r="H419" s="165"/>
      <c r="I419" s="167"/>
      <c r="J419" s="167"/>
    </row>
    <row r="420" spans="2:10" s="13" customFormat="1">
      <c r="B420" s="165"/>
      <c r="C420" s="165"/>
      <c r="D420" s="165"/>
      <c r="E420" s="166"/>
      <c r="F420" s="166"/>
      <c r="G420" s="167"/>
      <c r="H420" s="165"/>
      <c r="I420" s="167"/>
      <c r="J420" s="167"/>
    </row>
    <row r="421" spans="2:10" s="13" customFormat="1">
      <c r="B421" s="165"/>
      <c r="C421" s="165"/>
      <c r="D421" s="165"/>
      <c r="E421" s="166"/>
      <c r="F421" s="166"/>
      <c r="G421" s="167"/>
      <c r="H421" s="165"/>
      <c r="I421" s="167"/>
      <c r="J421" s="167"/>
    </row>
    <row r="422" spans="2:10" s="13" customFormat="1">
      <c r="B422" s="165"/>
      <c r="C422" s="165"/>
      <c r="D422" s="165"/>
      <c r="E422" s="166"/>
      <c r="F422" s="166"/>
      <c r="G422" s="167"/>
      <c r="H422" s="165"/>
      <c r="I422" s="167"/>
      <c r="J422" s="167"/>
    </row>
    <row r="423" spans="2:10" s="13" customFormat="1">
      <c r="B423" s="165"/>
      <c r="C423" s="165"/>
      <c r="D423" s="165"/>
      <c r="E423" s="166"/>
      <c r="F423" s="166"/>
      <c r="G423" s="167"/>
      <c r="H423" s="165"/>
      <c r="I423" s="167"/>
      <c r="J423" s="167"/>
    </row>
    <row r="424" spans="2:10" s="13" customFormat="1">
      <c r="B424" s="165"/>
      <c r="C424" s="165"/>
      <c r="D424" s="165"/>
      <c r="E424" s="166"/>
      <c r="F424" s="166"/>
      <c r="G424" s="167"/>
      <c r="H424" s="165"/>
      <c r="I424" s="167"/>
      <c r="J424" s="167"/>
    </row>
    <row r="425" spans="2:10" s="13" customFormat="1">
      <c r="B425" s="165"/>
      <c r="C425" s="165"/>
      <c r="D425" s="165"/>
      <c r="E425" s="166"/>
      <c r="F425" s="166"/>
      <c r="G425" s="167"/>
      <c r="H425" s="165"/>
      <c r="I425" s="167"/>
      <c r="J425" s="167"/>
    </row>
    <row r="426" spans="2:10" s="13" customFormat="1">
      <c r="B426" s="165"/>
      <c r="C426" s="165"/>
      <c r="D426" s="165"/>
      <c r="E426" s="166"/>
      <c r="F426" s="166"/>
      <c r="G426" s="167"/>
      <c r="H426" s="165"/>
      <c r="I426" s="167"/>
      <c r="J426" s="167"/>
    </row>
    <row r="427" spans="2:10" s="13" customFormat="1">
      <c r="B427" s="165"/>
      <c r="C427" s="165"/>
      <c r="D427" s="165"/>
      <c r="E427" s="166"/>
      <c r="F427" s="166"/>
      <c r="G427" s="167"/>
      <c r="H427" s="165"/>
      <c r="I427" s="167"/>
      <c r="J427" s="167"/>
    </row>
    <row r="428" spans="2:10" s="13" customFormat="1">
      <c r="B428" s="165"/>
      <c r="C428" s="165"/>
      <c r="D428" s="165"/>
      <c r="E428" s="166"/>
      <c r="F428" s="166"/>
      <c r="G428" s="167"/>
      <c r="H428" s="165"/>
      <c r="I428" s="167"/>
      <c r="J428" s="167"/>
    </row>
    <row r="429" spans="2:10" s="13" customFormat="1">
      <c r="B429" s="165"/>
      <c r="C429" s="165"/>
      <c r="D429" s="165"/>
      <c r="E429" s="166"/>
      <c r="F429" s="166"/>
      <c r="G429" s="167"/>
      <c r="H429" s="165"/>
      <c r="I429" s="167"/>
      <c r="J429" s="167"/>
    </row>
    <row r="430" spans="2:10" s="13" customFormat="1">
      <c r="B430" s="165"/>
      <c r="C430" s="165"/>
      <c r="D430" s="165"/>
      <c r="E430" s="166"/>
      <c r="F430" s="166"/>
      <c r="G430" s="167"/>
      <c r="H430" s="165"/>
      <c r="I430" s="167"/>
      <c r="J430" s="167"/>
    </row>
    <row r="431" spans="2:10" s="13" customFormat="1">
      <c r="B431" s="165"/>
      <c r="C431" s="165"/>
      <c r="D431" s="165"/>
      <c r="E431" s="166"/>
      <c r="F431" s="166"/>
      <c r="G431" s="167"/>
      <c r="H431" s="165"/>
      <c r="I431" s="167"/>
      <c r="J431" s="167"/>
    </row>
    <row r="432" spans="2:10" s="13" customFormat="1">
      <c r="B432" s="165"/>
      <c r="C432" s="165"/>
      <c r="D432" s="165"/>
      <c r="E432" s="166"/>
      <c r="F432" s="166"/>
      <c r="G432" s="167"/>
      <c r="H432" s="165"/>
      <c r="I432" s="167"/>
      <c r="J432" s="167"/>
    </row>
    <row r="433" spans="2:10" s="13" customFormat="1">
      <c r="B433" s="165"/>
      <c r="C433" s="165"/>
      <c r="D433" s="165"/>
      <c r="E433" s="166"/>
      <c r="F433" s="166"/>
      <c r="G433" s="167"/>
      <c r="H433" s="165"/>
      <c r="I433" s="167"/>
      <c r="J433" s="167"/>
    </row>
    <row r="434" spans="2:10" s="13" customFormat="1">
      <c r="B434" s="165"/>
      <c r="C434" s="165"/>
      <c r="D434" s="165"/>
      <c r="E434" s="166"/>
      <c r="F434" s="166"/>
      <c r="G434" s="167"/>
      <c r="H434" s="165"/>
      <c r="I434" s="167"/>
      <c r="J434" s="167"/>
    </row>
    <row r="435" spans="2:10" s="13" customFormat="1">
      <c r="B435" s="165"/>
      <c r="C435" s="165"/>
      <c r="D435" s="165"/>
      <c r="E435" s="166"/>
      <c r="F435" s="166"/>
      <c r="G435" s="167"/>
      <c r="H435" s="165"/>
      <c r="I435" s="167"/>
      <c r="J435" s="167"/>
    </row>
    <row r="436" spans="2:10" s="13" customFormat="1">
      <c r="B436" s="165"/>
      <c r="C436" s="165"/>
      <c r="D436" s="165"/>
      <c r="E436" s="166"/>
      <c r="F436" s="166"/>
      <c r="G436" s="167"/>
      <c r="H436" s="165"/>
      <c r="I436" s="167"/>
      <c r="J436" s="167"/>
    </row>
    <row r="437" spans="2:10" s="13" customFormat="1">
      <c r="B437" s="165"/>
      <c r="C437" s="165"/>
      <c r="D437" s="165"/>
      <c r="E437" s="166"/>
      <c r="F437" s="166"/>
      <c r="G437" s="167"/>
      <c r="H437" s="165"/>
      <c r="I437" s="167"/>
      <c r="J437" s="167"/>
    </row>
    <row r="438" spans="2:10" s="13" customFormat="1">
      <c r="B438" s="165"/>
      <c r="C438" s="165"/>
      <c r="D438" s="165"/>
      <c r="E438" s="166"/>
      <c r="F438" s="166"/>
      <c r="G438" s="167"/>
      <c r="H438" s="165"/>
      <c r="I438" s="167"/>
      <c r="J438" s="167"/>
    </row>
    <row r="439" spans="2:10" s="13" customFormat="1">
      <c r="B439" s="165"/>
      <c r="C439" s="165"/>
      <c r="D439" s="165"/>
      <c r="E439" s="166"/>
      <c r="F439" s="166"/>
      <c r="G439" s="167"/>
      <c r="H439" s="165"/>
      <c r="I439" s="167"/>
      <c r="J439" s="167"/>
    </row>
    <row r="440" spans="2:10" s="13" customFormat="1">
      <c r="B440" s="165"/>
      <c r="C440" s="165"/>
      <c r="D440" s="165"/>
      <c r="E440" s="166"/>
      <c r="F440" s="166"/>
      <c r="G440" s="167"/>
      <c r="H440" s="165"/>
      <c r="I440" s="167"/>
      <c r="J440" s="167"/>
    </row>
    <row r="441" spans="2:10" s="13" customFormat="1">
      <c r="B441" s="165"/>
      <c r="C441" s="165"/>
      <c r="D441" s="165"/>
      <c r="E441" s="166"/>
      <c r="F441" s="166"/>
      <c r="G441" s="167"/>
      <c r="H441" s="165"/>
      <c r="I441" s="167"/>
      <c r="J441" s="167"/>
    </row>
    <row r="442" spans="2:10" s="13" customFormat="1">
      <c r="B442" s="165"/>
      <c r="C442" s="165"/>
      <c r="D442" s="165"/>
      <c r="E442" s="166"/>
      <c r="F442" s="166"/>
      <c r="G442" s="167"/>
      <c r="H442" s="165"/>
      <c r="I442" s="167"/>
      <c r="J442" s="167"/>
    </row>
    <row r="443" spans="2:10" s="13" customFormat="1">
      <c r="B443" s="165"/>
      <c r="C443" s="165"/>
      <c r="D443" s="165"/>
      <c r="E443" s="166"/>
      <c r="F443" s="166"/>
      <c r="G443" s="167"/>
      <c r="H443" s="165"/>
      <c r="I443" s="167"/>
      <c r="J443" s="167"/>
    </row>
    <row r="444" spans="2:10" s="13" customFormat="1">
      <c r="B444" s="165"/>
      <c r="C444" s="165"/>
      <c r="D444" s="165"/>
      <c r="E444" s="166"/>
      <c r="F444" s="166"/>
      <c r="G444" s="167"/>
      <c r="H444" s="165"/>
      <c r="I444" s="167"/>
      <c r="J444" s="167"/>
    </row>
    <row r="445" spans="2:10" s="13" customFormat="1">
      <c r="B445" s="165"/>
      <c r="C445" s="165"/>
      <c r="D445" s="165"/>
      <c r="E445" s="166"/>
      <c r="F445" s="166"/>
      <c r="G445" s="167"/>
      <c r="H445" s="165"/>
      <c r="I445" s="167"/>
      <c r="J445" s="167"/>
    </row>
    <row r="446" spans="2:10" s="13" customFormat="1">
      <c r="B446" s="165"/>
      <c r="C446" s="165"/>
      <c r="D446" s="165"/>
      <c r="E446" s="166"/>
      <c r="F446" s="166"/>
      <c r="G446" s="167"/>
      <c r="H446" s="165"/>
      <c r="I446" s="167"/>
      <c r="J446" s="167"/>
    </row>
    <row r="447" spans="2:10" s="13" customFormat="1">
      <c r="B447" s="165"/>
      <c r="C447" s="165"/>
      <c r="D447" s="165"/>
      <c r="E447" s="166"/>
      <c r="F447" s="166"/>
      <c r="G447" s="167"/>
      <c r="H447" s="165"/>
      <c r="I447" s="167"/>
      <c r="J447" s="167"/>
    </row>
    <row r="448" spans="2:10" s="13" customFormat="1">
      <c r="B448" s="165"/>
      <c r="C448" s="165"/>
      <c r="D448" s="165"/>
      <c r="E448" s="166"/>
      <c r="F448" s="166"/>
      <c r="G448" s="167"/>
      <c r="H448" s="165"/>
      <c r="I448" s="167"/>
      <c r="J448" s="167"/>
    </row>
    <row r="449" spans="2:10" s="13" customFormat="1">
      <c r="B449" s="165"/>
      <c r="C449" s="165"/>
      <c r="D449" s="165"/>
      <c r="E449" s="166"/>
      <c r="F449" s="166"/>
      <c r="G449" s="167"/>
      <c r="H449" s="165"/>
      <c r="I449" s="167"/>
      <c r="J449" s="167"/>
    </row>
    <row r="450" spans="2:10" s="13" customFormat="1">
      <c r="B450" s="165"/>
      <c r="C450" s="165"/>
      <c r="D450" s="165"/>
      <c r="E450" s="166"/>
      <c r="F450" s="166"/>
      <c r="G450" s="167"/>
      <c r="H450" s="165"/>
      <c r="I450" s="167"/>
      <c r="J450" s="167"/>
    </row>
    <row r="451" spans="2:10" s="13" customFormat="1">
      <c r="B451" s="165"/>
      <c r="C451" s="165"/>
      <c r="D451" s="165"/>
      <c r="E451" s="166"/>
      <c r="F451" s="166"/>
      <c r="G451" s="167"/>
      <c r="H451" s="165"/>
      <c r="I451" s="167"/>
      <c r="J451" s="167"/>
    </row>
    <row r="452" spans="2:10" s="13" customFormat="1">
      <c r="B452" s="165"/>
      <c r="C452" s="165"/>
      <c r="D452" s="165"/>
      <c r="E452" s="166"/>
      <c r="F452" s="166"/>
      <c r="G452" s="167"/>
      <c r="H452" s="165"/>
      <c r="I452" s="167"/>
      <c r="J452" s="167"/>
    </row>
    <row r="453" spans="2:10" s="13" customFormat="1">
      <c r="B453" s="165"/>
      <c r="C453" s="165"/>
      <c r="D453" s="165"/>
      <c r="E453" s="166"/>
      <c r="F453" s="166"/>
      <c r="G453" s="167"/>
      <c r="H453" s="165"/>
      <c r="I453" s="167"/>
      <c r="J453" s="167"/>
    </row>
    <row r="454" spans="2:10" s="13" customFormat="1">
      <c r="B454" s="165"/>
      <c r="C454" s="165"/>
      <c r="D454" s="165"/>
      <c r="E454" s="166"/>
      <c r="F454" s="166"/>
      <c r="G454" s="167"/>
      <c r="H454" s="165"/>
      <c r="I454" s="167"/>
      <c r="J454" s="167"/>
    </row>
    <row r="455" spans="2:10" s="13" customFormat="1">
      <c r="B455" s="165"/>
      <c r="C455" s="165"/>
      <c r="D455" s="165"/>
      <c r="E455" s="166"/>
      <c r="F455" s="166"/>
      <c r="G455" s="167"/>
      <c r="H455" s="165"/>
      <c r="I455" s="167"/>
      <c r="J455" s="167"/>
    </row>
    <row r="456" spans="2:10" s="13" customFormat="1">
      <c r="B456" s="165"/>
      <c r="C456" s="165"/>
      <c r="D456" s="165"/>
      <c r="E456" s="166"/>
      <c r="F456" s="166"/>
      <c r="G456" s="167"/>
      <c r="H456" s="165"/>
      <c r="I456" s="167"/>
      <c r="J456" s="167"/>
    </row>
    <row r="457" spans="2:10" s="13" customFormat="1">
      <c r="B457" s="165"/>
      <c r="C457" s="165"/>
      <c r="D457" s="165"/>
      <c r="E457" s="166"/>
      <c r="F457" s="166"/>
      <c r="G457" s="167"/>
      <c r="H457" s="165"/>
      <c r="I457" s="167"/>
      <c r="J457" s="167"/>
    </row>
    <row r="458" spans="2:10" s="13" customFormat="1">
      <c r="B458" s="165"/>
      <c r="C458" s="165"/>
      <c r="D458" s="165"/>
      <c r="E458" s="166"/>
      <c r="F458" s="166"/>
      <c r="G458" s="167"/>
      <c r="H458" s="165"/>
      <c r="I458" s="167"/>
      <c r="J458" s="167"/>
    </row>
    <row r="459" spans="2:10" s="13" customFormat="1">
      <c r="B459" s="165"/>
      <c r="C459" s="165"/>
      <c r="D459" s="165"/>
      <c r="E459" s="166"/>
      <c r="F459" s="166"/>
      <c r="G459" s="167"/>
      <c r="H459" s="165"/>
      <c r="I459" s="167"/>
      <c r="J459" s="167"/>
    </row>
    <row r="460" spans="2:10" s="13" customFormat="1">
      <c r="B460" s="165"/>
      <c r="C460" s="165"/>
      <c r="D460" s="165"/>
      <c r="E460" s="166"/>
      <c r="F460" s="166"/>
      <c r="G460" s="167"/>
      <c r="H460" s="165"/>
      <c r="I460" s="167"/>
      <c r="J460" s="167"/>
    </row>
    <row r="461" spans="2:10" s="13" customFormat="1">
      <c r="B461" s="165"/>
      <c r="C461" s="165"/>
      <c r="D461" s="165"/>
      <c r="E461" s="166"/>
      <c r="F461" s="166"/>
      <c r="G461" s="167"/>
      <c r="H461" s="165"/>
      <c r="I461" s="167"/>
      <c r="J461" s="167"/>
    </row>
    <row r="462" spans="2:10" s="13" customFormat="1">
      <c r="B462" s="165"/>
      <c r="C462" s="165"/>
      <c r="D462" s="165"/>
      <c r="E462" s="166"/>
      <c r="F462" s="166"/>
      <c r="G462" s="167"/>
      <c r="H462" s="165"/>
      <c r="I462" s="167"/>
      <c r="J462" s="167"/>
    </row>
    <row r="463" spans="2:10" s="13" customFormat="1">
      <c r="B463" s="165"/>
      <c r="C463" s="165"/>
      <c r="D463" s="165"/>
      <c r="E463" s="166"/>
      <c r="F463" s="166"/>
      <c r="G463" s="167"/>
      <c r="H463" s="165"/>
      <c r="I463" s="167"/>
      <c r="J463" s="167"/>
    </row>
    <row r="464" spans="2:10" s="13" customFormat="1">
      <c r="E464" s="177"/>
      <c r="F464" s="177"/>
    </row>
    <row r="465" spans="2:10" s="13" customFormat="1">
      <c r="B465" s="165"/>
      <c r="C465" s="165"/>
      <c r="D465" s="165"/>
      <c r="E465" s="166"/>
      <c r="F465" s="166"/>
      <c r="G465" s="167"/>
      <c r="H465" s="165"/>
      <c r="I465" s="167"/>
      <c r="J465" s="167"/>
    </row>
    <row r="466" spans="2:10" s="13" customFormat="1">
      <c r="B466" s="165"/>
      <c r="C466" s="165"/>
      <c r="D466" s="165"/>
      <c r="E466" s="166"/>
      <c r="F466" s="166"/>
      <c r="G466" s="167"/>
      <c r="H466" s="165"/>
      <c r="I466" s="167"/>
      <c r="J466" s="167"/>
    </row>
    <row r="467" spans="2:10" s="13" customFormat="1">
      <c r="B467" s="165"/>
      <c r="C467" s="165"/>
      <c r="D467" s="165"/>
      <c r="E467" s="166"/>
      <c r="F467" s="166"/>
      <c r="G467" s="167"/>
      <c r="H467" s="165"/>
      <c r="I467" s="167"/>
      <c r="J467" s="167"/>
    </row>
    <row r="468" spans="2:10" s="13" customFormat="1">
      <c r="B468" s="165"/>
      <c r="C468" s="165"/>
      <c r="D468" s="165"/>
      <c r="E468" s="166"/>
      <c r="F468" s="166"/>
      <c r="G468" s="167"/>
      <c r="H468" s="165"/>
      <c r="I468" s="167"/>
      <c r="J468" s="167"/>
    </row>
    <row r="469" spans="2:10" s="13" customFormat="1">
      <c r="B469" s="165"/>
      <c r="C469" s="165"/>
      <c r="D469" s="165"/>
      <c r="E469" s="166"/>
      <c r="F469" s="166"/>
      <c r="G469" s="167"/>
      <c r="H469" s="165"/>
      <c r="I469" s="167"/>
      <c r="J469" s="167"/>
    </row>
    <row r="470" spans="2:10" s="13" customFormat="1">
      <c r="B470" s="165"/>
      <c r="C470" s="165"/>
      <c r="D470" s="165"/>
      <c r="E470" s="166"/>
      <c r="F470" s="166"/>
      <c r="G470" s="167"/>
      <c r="H470" s="165"/>
      <c r="I470" s="167"/>
      <c r="J470" s="167"/>
    </row>
    <row r="471" spans="2:10" s="13" customFormat="1">
      <c r="B471" s="165"/>
      <c r="C471" s="165"/>
      <c r="D471" s="165"/>
      <c r="E471" s="166"/>
      <c r="F471" s="166"/>
      <c r="G471" s="167"/>
      <c r="H471" s="165"/>
      <c r="I471" s="167"/>
      <c r="J471" s="167"/>
    </row>
    <row r="472" spans="2:10" s="13" customFormat="1">
      <c r="B472" s="165"/>
      <c r="C472" s="165"/>
      <c r="D472" s="165"/>
      <c r="E472" s="166"/>
      <c r="F472" s="166"/>
      <c r="G472" s="167"/>
      <c r="H472" s="165"/>
      <c r="I472" s="167"/>
      <c r="J472" s="167"/>
    </row>
    <row r="473" spans="2:10" s="13" customFormat="1">
      <c r="B473" s="165"/>
      <c r="C473" s="165"/>
      <c r="D473" s="165"/>
      <c r="E473" s="166"/>
      <c r="F473" s="166"/>
      <c r="G473" s="167"/>
      <c r="H473" s="165"/>
      <c r="I473" s="167"/>
      <c r="J473" s="167"/>
    </row>
    <row r="474" spans="2:10" s="13" customFormat="1">
      <c r="B474" s="165"/>
      <c r="C474" s="165"/>
      <c r="D474" s="165"/>
      <c r="E474" s="166"/>
      <c r="F474" s="166"/>
      <c r="G474" s="167"/>
      <c r="H474" s="165"/>
      <c r="I474" s="167"/>
      <c r="J474" s="167"/>
    </row>
    <row r="475" spans="2:10" s="13" customFormat="1">
      <c r="B475" s="165"/>
      <c r="C475" s="165"/>
      <c r="D475" s="165"/>
      <c r="E475" s="166"/>
      <c r="F475" s="166"/>
      <c r="G475" s="167"/>
      <c r="H475" s="165"/>
      <c r="I475" s="167"/>
      <c r="J475" s="167"/>
    </row>
    <row r="476" spans="2:10" s="13" customFormat="1">
      <c r="B476" s="165"/>
      <c r="C476" s="165"/>
      <c r="D476" s="165"/>
      <c r="E476" s="166"/>
      <c r="F476" s="166"/>
      <c r="G476" s="167"/>
      <c r="H476" s="165"/>
      <c r="I476" s="167"/>
      <c r="J476" s="167"/>
    </row>
    <row r="477" spans="2:10" s="13" customFormat="1">
      <c r="B477" s="165"/>
      <c r="C477" s="165"/>
      <c r="D477" s="165"/>
      <c r="E477" s="166"/>
      <c r="F477" s="166"/>
      <c r="G477" s="167"/>
      <c r="H477" s="165"/>
      <c r="I477" s="167"/>
      <c r="J477" s="167"/>
    </row>
    <row r="478" spans="2:10" s="13" customFormat="1">
      <c r="B478" s="165"/>
      <c r="C478" s="165"/>
      <c r="D478" s="165"/>
      <c r="E478" s="166"/>
      <c r="F478" s="166"/>
      <c r="G478" s="167"/>
      <c r="H478" s="165"/>
      <c r="I478" s="167"/>
      <c r="J478" s="167"/>
    </row>
    <row r="479" spans="2:10" s="13" customFormat="1">
      <c r="B479" s="165"/>
      <c r="C479" s="165"/>
      <c r="D479" s="165"/>
      <c r="E479" s="166"/>
      <c r="F479" s="166"/>
      <c r="G479" s="167"/>
      <c r="H479" s="165"/>
      <c r="I479" s="167"/>
      <c r="J479" s="167"/>
    </row>
    <row r="480" spans="2:10" s="13" customFormat="1">
      <c r="B480" s="165"/>
      <c r="C480" s="165"/>
      <c r="D480" s="165"/>
      <c r="E480" s="166"/>
      <c r="F480" s="166"/>
      <c r="G480" s="167"/>
      <c r="H480" s="165"/>
      <c r="I480" s="167"/>
      <c r="J480" s="167"/>
    </row>
    <row r="481" spans="2:10" s="13" customFormat="1">
      <c r="B481" s="165"/>
      <c r="C481" s="165"/>
      <c r="D481" s="165"/>
      <c r="E481" s="166"/>
      <c r="F481" s="166"/>
      <c r="G481" s="167"/>
      <c r="H481" s="165"/>
      <c r="I481" s="167"/>
      <c r="J481" s="167"/>
    </row>
    <row r="482" spans="2:10" s="13" customFormat="1">
      <c r="B482" s="165"/>
      <c r="C482" s="165"/>
      <c r="D482" s="165"/>
      <c r="E482" s="166"/>
      <c r="F482" s="166"/>
      <c r="G482" s="167"/>
      <c r="H482" s="165"/>
      <c r="I482" s="167"/>
      <c r="J482" s="167"/>
    </row>
    <row r="483" spans="2:10" s="13" customFormat="1">
      <c r="B483" s="165"/>
      <c r="C483" s="165"/>
      <c r="D483" s="165"/>
      <c r="E483" s="166"/>
      <c r="F483" s="166"/>
      <c r="G483" s="167"/>
      <c r="H483" s="165"/>
      <c r="I483" s="167"/>
      <c r="J483" s="167"/>
    </row>
    <row r="484" spans="2:10" s="13" customFormat="1">
      <c r="B484" s="165"/>
      <c r="C484" s="165"/>
      <c r="D484" s="165"/>
      <c r="E484" s="166"/>
      <c r="F484" s="166"/>
      <c r="G484" s="167"/>
      <c r="H484" s="165"/>
      <c r="I484" s="167"/>
      <c r="J484" s="167"/>
    </row>
    <row r="485" spans="2:10" s="13" customFormat="1">
      <c r="B485" s="165"/>
      <c r="C485" s="165"/>
      <c r="D485" s="165"/>
      <c r="E485" s="166"/>
      <c r="F485" s="166"/>
      <c r="G485" s="167"/>
      <c r="H485" s="165"/>
      <c r="I485" s="167"/>
      <c r="J485" s="167"/>
    </row>
    <row r="486" spans="2:10" s="13" customFormat="1">
      <c r="B486" s="165"/>
      <c r="C486" s="165"/>
      <c r="D486" s="165"/>
      <c r="E486" s="166"/>
      <c r="F486" s="166"/>
      <c r="G486" s="167"/>
      <c r="H486" s="165"/>
      <c r="I486" s="167"/>
      <c r="J486" s="167"/>
    </row>
    <row r="487" spans="2:10" s="13" customFormat="1">
      <c r="B487" s="165"/>
      <c r="C487" s="165"/>
      <c r="D487" s="165"/>
      <c r="E487" s="166"/>
      <c r="F487" s="166"/>
      <c r="G487" s="167"/>
      <c r="H487" s="165"/>
      <c r="I487" s="167"/>
      <c r="J487" s="167"/>
    </row>
    <row r="488" spans="2:10" s="13" customFormat="1">
      <c r="B488" s="165"/>
      <c r="C488" s="165"/>
      <c r="D488" s="165"/>
      <c r="E488" s="166"/>
      <c r="F488" s="166"/>
      <c r="G488" s="167"/>
      <c r="H488" s="165"/>
      <c r="I488" s="167"/>
      <c r="J488" s="167"/>
    </row>
    <row r="489" spans="2:10" s="13" customFormat="1">
      <c r="B489" s="165"/>
      <c r="C489" s="165"/>
      <c r="D489" s="165"/>
      <c r="E489" s="166"/>
      <c r="F489" s="166"/>
      <c r="G489" s="167"/>
      <c r="H489" s="165"/>
      <c r="I489" s="167"/>
      <c r="J489" s="167"/>
    </row>
    <row r="490" spans="2:10" s="13" customFormat="1">
      <c r="B490" s="165"/>
      <c r="C490" s="165"/>
      <c r="D490" s="165"/>
      <c r="E490" s="166"/>
      <c r="F490" s="166"/>
      <c r="G490" s="167"/>
      <c r="H490" s="165"/>
      <c r="I490" s="167"/>
      <c r="J490" s="167"/>
    </row>
    <row r="491" spans="2:10" s="13" customFormat="1">
      <c r="B491" s="165"/>
      <c r="C491" s="165"/>
      <c r="D491" s="165"/>
      <c r="E491" s="166"/>
      <c r="F491" s="166"/>
      <c r="G491" s="167"/>
      <c r="H491" s="165"/>
      <c r="I491" s="167"/>
      <c r="J491" s="167"/>
    </row>
    <row r="492" spans="2:10" s="13" customFormat="1">
      <c r="B492" s="165"/>
      <c r="C492" s="165"/>
      <c r="D492" s="165"/>
      <c r="E492" s="166"/>
      <c r="F492" s="166"/>
      <c r="G492" s="167"/>
      <c r="H492" s="165"/>
      <c r="I492" s="167"/>
      <c r="J492" s="167"/>
    </row>
    <row r="493" spans="2:10" s="13" customFormat="1">
      <c r="B493" s="165"/>
      <c r="C493" s="165"/>
      <c r="D493" s="165"/>
      <c r="E493" s="166"/>
      <c r="F493" s="166"/>
      <c r="G493" s="167"/>
      <c r="H493" s="165"/>
      <c r="I493" s="167"/>
      <c r="J493" s="167"/>
    </row>
    <row r="494" spans="2:10" s="13" customFormat="1">
      <c r="B494" s="165"/>
      <c r="C494" s="165"/>
      <c r="D494" s="165"/>
      <c r="E494" s="166"/>
      <c r="F494" s="166"/>
      <c r="G494" s="167"/>
      <c r="H494" s="165"/>
      <c r="I494" s="167"/>
      <c r="J494" s="167"/>
    </row>
    <row r="495" spans="2:10" s="13" customFormat="1">
      <c r="B495" s="165"/>
      <c r="C495" s="165"/>
      <c r="D495" s="165"/>
      <c r="E495" s="166"/>
      <c r="F495" s="166"/>
      <c r="G495" s="167"/>
      <c r="H495" s="165"/>
      <c r="I495" s="167"/>
      <c r="J495" s="167"/>
    </row>
    <row r="496" spans="2:10" s="13" customFormat="1">
      <c r="B496" s="165"/>
      <c r="C496" s="165"/>
      <c r="D496" s="165"/>
      <c r="E496" s="166"/>
      <c r="F496" s="166"/>
      <c r="G496" s="167"/>
      <c r="H496" s="165"/>
      <c r="I496" s="167"/>
      <c r="J496" s="167"/>
    </row>
    <row r="497" spans="2:10" s="13" customFormat="1">
      <c r="B497" s="165"/>
      <c r="C497" s="165"/>
      <c r="D497" s="165"/>
      <c r="E497" s="166"/>
      <c r="F497" s="166"/>
      <c r="G497" s="167"/>
      <c r="H497" s="165"/>
      <c r="I497" s="167"/>
      <c r="J497" s="167"/>
    </row>
    <row r="498" spans="2:10" s="13" customFormat="1">
      <c r="B498" s="165"/>
      <c r="C498" s="165"/>
      <c r="D498" s="165"/>
      <c r="E498" s="166"/>
      <c r="F498" s="166"/>
      <c r="G498" s="167"/>
      <c r="H498" s="165"/>
      <c r="I498" s="167"/>
      <c r="J498" s="167"/>
    </row>
    <row r="499" spans="2:10" s="13" customFormat="1">
      <c r="B499" s="165"/>
      <c r="C499" s="165"/>
      <c r="D499" s="165"/>
      <c r="E499" s="166"/>
      <c r="F499" s="166"/>
      <c r="G499" s="167"/>
      <c r="H499" s="165"/>
      <c r="I499" s="167"/>
      <c r="J499" s="167"/>
    </row>
    <row r="500" spans="2:10" s="13" customFormat="1">
      <c r="B500" s="165"/>
      <c r="C500" s="165"/>
      <c r="D500" s="165"/>
      <c r="E500" s="166"/>
      <c r="F500" s="166"/>
      <c r="G500" s="167"/>
      <c r="H500" s="165"/>
      <c r="I500" s="167"/>
      <c r="J500" s="167"/>
    </row>
    <row r="501" spans="2:10" s="13" customFormat="1">
      <c r="B501" s="165"/>
      <c r="C501" s="165"/>
      <c r="D501" s="165"/>
      <c r="E501" s="166"/>
      <c r="F501" s="166"/>
      <c r="G501" s="167"/>
      <c r="H501" s="165"/>
      <c r="I501" s="167"/>
      <c r="J501" s="167"/>
    </row>
    <row r="502" spans="2:10" s="13" customFormat="1">
      <c r="B502" s="165"/>
      <c r="C502" s="165"/>
      <c r="D502" s="165"/>
      <c r="E502" s="166"/>
      <c r="F502" s="166"/>
      <c r="G502" s="167"/>
      <c r="H502" s="165"/>
      <c r="I502" s="167"/>
      <c r="J502" s="167"/>
    </row>
    <row r="503" spans="2:10" s="13" customFormat="1">
      <c r="B503" s="165"/>
      <c r="C503" s="165"/>
      <c r="D503" s="165"/>
      <c r="E503" s="166"/>
      <c r="F503" s="166"/>
      <c r="G503" s="167"/>
      <c r="H503" s="165"/>
      <c r="I503" s="167"/>
      <c r="J503" s="167"/>
    </row>
    <row r="504" spans="2:10" s="13" customFormat="1">
      <c r="B504" s="165"/>
      <c r="C504" s="165"/>
      <c r="D504" s="165"/>
      <c r="E504" s="166"/>
      <c r="F504" s="166"/>
      <c r="G504" s="167"/>
      <c r="H504" s="165"/>
      <c r="I504" s="167"/>
      <c r="J504" s="167"/>
    </row>
    <row r="505" spans="2:10" s="13" customFormat="1">
      <c r="B505" s="165"/>
      <c r="C505" s="165"/>
      <c r="D505" s="165"/>
      <c r="E505" s="166"/>
      <c r="F505" s="166"/>
      <c r="G505" s="167"/>
      <c r="H505" s="165"/>
      <c r="I505" s="167"/>
      <c r="J505" s="167"/>
    </row>
    <row r="506" spans="2:10" s="13" customFormat="1">
      <c r="B506" s="165"/>
      <c r="C506" s="165"/>
      <c r="D506" s="165"/>
      <c r="E506" s="166"/>
      <c r="F506" s="166"/>
      <c r="G506" s="167"/>
      <c r="H506" s="165"/>
      <c r="I506" s="167"/>
      <c r="J506" s="167"/>
    </row>
    <row r="507" spans="2:10" s="13" customFormat="1">
      <c r="B507" s="165"/>
      <c r="C507" s="165"/>
      <c r="D507" s="165"/>
      <c r="E507" s="166"/>
      <c r="F507" s="166"/>
      <c r="G507" s="167"/>
      <c r="H507" s="165"/>
      <c r="I507" s="167"/>
      <c r="J507" s="167"/>
    </row>
    <row r="508" spans="2:10" s="13" customFormat="1">
      <c r="B508" s="165"/>
      <c r="C508" s="165"/>
      <c r="D508" s="165"/>
      <c r="E508" s="166"/>
      <c r="F508" s="166"/>
      <c r="G508" s="167"/>
      <c r="H508" s="165"/>
      <c r="I508" s="167"/>
      <c r="J508" s="167"/>
    </row>
    <row r="509" spans="2:10" s="13" customFormat="1">
      <c r="B509" s="165"/>
      <c r="C509" s="165"/>
      <c r="D509" s="165"/>
      <c r="E509" s="166"/>
      <c r="F509" s="166"/>
      <c r="G509" s="167"/>
      <c r="H509" s="165"/>
      <c r="I509" s="167"/>
      <c r="J509" s="167"/>
    </row>
    <row r="510" spans="2:10" s="13" customFormat="1">
      <c r="B510" s="165"/>
      <c r="C510" s="165"/>
      <c r="D510" s="165"/>
      <c r="E510" s="166"/>
      <c r="F510" s="166"/>
      <c r="G510" s="167"/>
      <c r="H510" s="165"/>
      <c r="I510" s="167"/>
      <c r="J510" s="167"/>
    </row>
    <row r="511" spans="2:10" s="13" customFormat="1">
      <c r="B511" s="165"/>
      <c r="C511" s="165"/>
      <c r="D511" s="165"/>
      <c r="E511" s="166"/>
      <c r="F511" s="166"/>
      <c r="G511" s="167"/>
      <c r="H511" s="165"/>
      <c r="I511" s="167"/>
      <c r="J511" s="167"/>
    </row>
    <row r="512" spans="2:10" s="13" customFormat="1">
      <c r="B512" s="165"/>
      <c r="C512" s="165"/>
      <c r="D512" s="165"/>
      <c r="E512" s="166"/>
      <c r="F512" s="166"/>
      <c r="G512" s="167"/>
      <c r="H512" s="165"/>
      <c r="I512" s="167"/>
      <c r="J512" s="167"/>
    </row>
    <row r="513" spans="2:10" s="13" customFormat="1">
      <c r="B513" s="165"/>
      <c r="C513" s="165"/>
      <c r="D513" s="165"/>
      <c r="E513" s="166"/>
      <c r="F513" s="166"/>
      <c r="G513" s="167"/>
      <c r="H513" s="165"/>
      <c r="I513" s="167"/>
      <c r="J513" s="167"/>
    </row>
    <row r="514" spans="2:10" s="13" customFormat="1">
      <c r="B514" s="165"/>
      <c r="C514" s="165"/>
      <c r="D514" s="165"/>
      <c r="E514" s="166"/>
      <c r="F514" s="166"/>
      <c r="G514" s="167"/>
      <c r="H514" s="165"/>
      <c r="I514" s="167"/>
      <c r="J514" s="167"/>
    </row>
    <row r="515" spans="2:10" s="13" customFormat="1">
      <c r="B515" s="165"/>
      <c r="C515" s="165"/>
      <c r="D515" s="165"/>
      <c r="E515" s="166"/>
      <c r="F515" s="166"/>
      <c r="G515" s="167"/>
      <c r="H515" s="165"/>
      <c r="I515" s="167"/>
      <c r="J515" s="167"/>
    </row>
    <row r="516" spans="2:10" s="13" customFormat="1">
      <c r="B516" s="165"/>
      <c r="C516" s="165"/>
      <c r="D516" s="165"/>
      <c r="E516" s="166"/>
      <c r="F516" s="166"/>
      <c r="G516" s="167"/>
      <c r="H516" s="165"/>
      <c r="I516" s="167"/>
      <c r="J516" s="167"/>
    </row>
    <row r="517" spans="2:10" s="13" customFormat="1">
      <c r="B517" s="165"/>
      <c r="C517" s="165"/>
      <c r="D517" s="165"/>
      <c r="E517" s="166"/>
      <c r="F517" s="166"/>
      <c r="G517" s="167"/>
      <c r="H517" s="165"/>
      <c r="I517" s="167"/>
      <c r="J517" s="167"/>
    </row>
    <row r="518" spans="2:10" s="13" customFormat="1">
      <c r="B518" s="165"/>
      <c r="C518" s="165"/>
      <c r="D518" s="165"/>
      <c r="E518" s="166"/>
      <c r="F518" s="166"/>
      <c r="G518" s="167"/>
      <c r="H518" s="165"/>
      <c r="I518" s="167"/>
      <c r="J518" s="167"/>
    </row>
    <row r="519" spans="2:10" s="13" customFormat="1">
      <c r="B519" s="165"/>
      <c r="C519" s="165"/>
      <c r="D519" s="165"/>
      <c r="E519" s="166"/>
      <c r="F519" s="166"/>
      <c r="G519" s="167"/>
      <c r="H519" s="165"/>
      <c r="I519" s="167"/>
      <c r="J519" s="167"/>
    </row>
    <row r="520" spans="2:10" s="13" customFormat="1">
      <c r="B520" s="165"/>
      <c r="C520" s="165"/>
      <c r="D520" s="165"/>
      <c r="E520" s="166"/>
      <c r="F520" s="166"/>
      <c r="G520" s="167"/>
      <c r="H520" s="165"/>
      <c r="I520" s="167"/>
      <c r="J520" s="167"/>
    </row>
    <row r="521" spans="2:10" s="13" customFormat="1">
      <c r="B521" s="165"/>
      <c r="C521" s="165"/>
      <c r="D521" s="165"/>
      <c r="E521" s="166"/>
      <c r="F521" s="166"/>
      <c r="G521" s="167"/>
      <c r="H521" s="165"/>
      <c r="I521" s="167"/>
      <c r="J521" s="167"/>
    </row>
    <row r="522" spans="2:10" s="13" customFormat="1">
      <c r="B522" s="165"/>
      <c r="C522" s="165"/>
      <c r="D522" s="165"/>
      <c r="E522" s="166"/>
      <c r="F522" s="166"/>
      <c r="G522" s="167"/>
      <c r="H522" s="165"/>
      <c r="I522" s="167"/>
      <c r="J522" s="167"/>
    </row>
    <row r="523" spans="2:10" s="13" customFormat="1">
      <c r="B523" s="165"/>
      <c r="C523" s="165"/>
      <c r="D523" s="165"/>
      <c r="E523" s="166"/>
      <c r="F523" s="166"/>
      <c r="G523" s="167"/>
      <c r="H523" s="165"/>
      <c r="I523" s="167"/>
      <c r="J523" s="167"/>
    </row>
    <row r="524" spans="2:10" s="13" customFormat="1">
      <c r="B524" s="165"/>
      <c r="C524" s="165"/>
      <c r="D524" s="165"/>
      <c r="E524" s="166"/>
      <c r="F524" s="166"/>
      <c r="G524" s="167"/>
      <c r="H524" s="165"/>
      <c r="I524" s="167"/>
      <c r="J524" s="167"/>
    </row>
    <row r="525" spans="2:10" s="13" customFormat="1">
      <c r="B525" s="165"/>
      <c r="C525" s="165"/>
      <c r="D525" s="165"/>
      <c r="E525" s="166"/>
      <c r="F525" s="166"/>
      <c r="G525" s="167"/>
      <c r="H525" s="165"/>
      <c r="I525" s="167"/>
      <c r="J525" s="167"/>
    </row>
    <row r="526" spans="2:10" s="13" customFormat="1">
      <c r="B526" s="165"/>
      <c r="C526" s="165"/>
      <c r="D526" s="165"/>
      <c r="E526" s="166"/>
      <c r="F526" s="166"/>
      <c r="G526" s="167"/>
      <c r="H526" s="165"/>
      <c r="I526" s="167"/>
      <c r="J526" s="167"/>
    </row>
    <row r="527" spans="2:10" s="13" customFormat="1">
      <c r="B527" s="165"/>
      <c r="C527" s="165"/>
      <c r="D527" s="165"/>
      <c r="E527" s="166"/>
      <c r="F527" s="166"/>
      <c r="G527" s="167"/>
      <c r="H527" s="165"/>
      <c r="I527" s="167"/>
      <c r="J527" s="167"/>
    </row>
    <row r="528" spans="2:10" s="13" customFormat="1">
      <c r="B528" s="165"/>
      <c r="C528" s="165"/>
      <c r="D528" s="165"/>
      <c r="E528" s="166"/>
      <c r="F528" s="166"/>
      <c r="G528" s="167"/>
      <c r="H528" s="165"/>
      <c r="I528" s="167"/>
      <c r="J528" s="167"/>
    </row>
    <row r="529" spans="2:10" s="13" customFormat="1">
      <c r="B529" s="165"/>
      <c r="C529" s="165"/>
      <c r="D529" s="165"/>
      <c r="E529" s="166"/>
      <c r="F529" s="166"/>
      <c r="G529" s="167"/>
      <c r="H529" s="165"/>
      <c r="I529" s="167"/>
      <c r="J529" s="167"/>
    </row>
    <row r="530" spans="2:10" s="13" customFormat="1">
      <c r="B530" s="165"/>
      <c r="C530" s="165"/>
      <c r="D530" s="165"/>
      <c r="E530" s="166"/>
      <c r="F530" s="166"/>
      <c r="G530" s="167"/>
      <c r="H530" s="165"/>
      <c r="I530" s="167"/>
      <c r="J530" s="167"/>
    </row>
    <row r="531" spans="2:10" s="13" customFormat="1">
      <c r="B531" s="165"/>
      <c r="C531" s="165"/>
      <c r="D531" s="165"/>
      <c r="E531" s="166"/>
      <c r="F531" s="166"/>
      <c r="G531" s="167"/>
      <c r="H531" s="165"/>
      <c r="I531" s="167"/>
      <c r="J531" s="167"/>
    </row>
    <row r="532" spans="2:10" s="13" customFormat="1">
      <c r="B532" s="165"/>
      <c r="C532" s="165"/>
      <c r="D532" s="165"/>
      <c r="E532" s="166"/>
      <c r="F532" s="166"/>
      <c r="G532" s="167"/>
      <c r="H532" s="165"/>
      <c r="I532" s="167"/>
      <c r="J532" s="167"/>
    </row>
    <row r="533" spans="2:10" s="13" customFormat="1">
      <c r="B533" s="165"/>
      <c r="C533" s="165"/>
      <c r="D533" s="165"/>
      <c r="E533" s="166"/>
      <c r="F533" s="166"/>
      <c r="G533" s="167"/>
      <c r="H533" s="165"/>
      <c r="I533" s="167"/>
      <c r="J533" s="167"/>
    </row>
    <row r="534" spans="2:10" s="13" customFormat="1">
      <c r="B534" s="165"/>
      <c r="C534" s="165"/>
      <c r="D534" s="165"/>
      <c r="E534" s="166"/>
      <c r="F534" s="166"/>
      <c r="G534" s="167"/>
      <c r="H534" s="165"/>
      <c r="I534" s="167"/>
      <c r="J534" s="167"/>
    </row>
    <row r="535" spans="2:10" s="13" customFormat="1">
      <c r="B535" s="165"/>
      <c r="C535" s="165"/>
      <c r="D535" s="165"/>
      <c r="E535" s="166"/>
      <c r="F535" s="166"/>
      <c r="G535" s="167"/>
      <c r="H535" s="165"/>
      <c r="I535" s="167"/>
      <c r="J535" s="167"/>
    </row>
    <row r="536" spans="2:10" s="13" customFormat="1">
      <c r="B536" s="165"/>
      <c r="C536" s="165"/>
      <c r="D536" s="165"/>
      <c r="E536" s="166"/>
      <c r="F536" s="166"/>
      <c r="G536" s="167"/>
      <c r="H536" s="165"/>
      <c r="I536" s="167"/>
      <c r="J536" s="167"/>
    </row>
    <row r="537" spans="2:10" s="13" customFormat="1">
      <c r="B537" s="165"/>
      <c r="C537" s="165"/>
      <c r="D537" s="165"/>
      <c r="E537" s="166"/>
      <c r="F537" s="166"/>
      <c r="G537" s="167"/>
      <c r="H537" s="165"/>
      <c r="I537" s="167"/>
      <c r="J537" s="167"/>
    </row>
    <row r="538" spans="2:10" s="13" customFormat="1">
      <c r="B538" s="165"/>
      <c r="C538" s="165"/>
      <c r="D538" s="165"/>
      <c r="E538" s="166"/>
      <c r="F538" s="166"/>
      <c r="G538" s="167"/>
      <c r="H538" s="165"/>
      <c r="I538" s="167"/>
      <c r="J538" s="167"/>
    </row>
    <row r="539" spans="2:10" s="13" customFormat="1">
      <c r="B539" s="165"/>
      <c r="C539" s="165"/>
      <c r="D539" s="165"/>
      <c r="E539" s="166"/>
      <c r="F539" s="166"/>
      <c r="G539" s="167"/>
      <c r="H539" s="165"/>
      <c r="I539" s="167"/>
      <c r="J539" s="167"/>
    </row>
    <row r="540" spans="2:10" s="13" customFormat="1">
      <c r="B540" s="165"/>
      <c r="C540" s="165"/>
      <c r="D540" s="165"/>
      <c r="E540" s="166"/>
      <c r="F540" s="166"/>
      <c r="G540" s="167"/>
      <c r="H540" s="165"/>
      <c r="I540" s="167"/>
      <c r="J540" s="167"/>
    </row>
    <row r="541" spans="2:10" s="13" customFormat="1">
      <c r="B541" s="165"/>
      <c r="C541" s="165"/>
      <c r="D541" s="165"/>
      <c r="E541" s="166"/>
      <c r="F541" s="166"/>
      <c r="G541" s="167"/>
      <c r="H541" s="165"/>
      <c r="I541" s="167"/>
      <c r="J541" s="167"/>
    </row>
    <row r="542" spans="2:10" s="13" customFormat="1">
      <c r="B542" s="165"/>
      <c r="C542" s="165"/>
      <c r="D542" s="165"/>
      <c r="E542" s="166"/>
      <c r="F542" s="166"/>
      <c r="G542" s="167"/>
      <c r="H542" s="165"/>
      <c r="I542" s="167"/>
      <c r="J542" s="167"/>
    </row>
    <row r="543" spans="2:10" s="13" customFormat="1">
      <c r="B543" s="165"/>
      <c r="C543" s="165"/>
      <c r="D543" s="165"/>
      <c r="E543" s="166"/>
      <c r="F543" s="166"/>
      <c r="G543" s="167"/>
      <c r="H543" s="165"/>
      <c r="I543" s="167"/>
      <c r="J543" s="167"/>
    </row>
    <row r="544" spans="2:10" s="13" customFormat="1">
      <c r="B544" s="165"/>
      <c r="C544" s="165"/>
      <c r="D544" s="165"/>
      <c r="E544" s="166"/>
      <c r="F544" s="166"/>
      <c r="G544" s="167"/>
      <c r="H544" s="165"/>
      <c r="I544" s="167"/>
      <c r="J544" s="167"/>
    </row>
    <row r="545" spans="2:10" s="13" customFormat="1">
      <c r="B545" s="165"/>
      <c r="C545" s="165"/>
      <c r="D545" s="165"/>
      <c r="E545" s="166"/>
      <c r="F545" s="166"/>
      <c r="G545" s="167"/>
      <c r="H545" s="165"/>
      <c r="I545" s="167"/>
      <c r="J545" s="167"/>
    </row>
    <row r="546" spans="2:10" s="13" customFormat="1">
      <c r="B546" s="165"/>
      <c r="C546" s="165"/>
      <c r="D546" s="165"/>
      <c r="E546" s="166"/>
      <c r="F546" s="166"/>
      <c r="G546" s="167"/>
      <c r="H546" s="165"/>
      <c r="I546" s="167"/>
      <c r="J546" s="167"/>
    </row>
    <row r="547" spans="2:10" s="13" customFormat="1">
      <c r="B547" s="165"/>
      <c r="C547" s="165"/>
      <c r="D547" s="165"/>
      <c r="E547" s="166"/>
      <c r="F547" s="166"/>
      <c r="G547" s="167"/>
      <c r="H547" s="165"/>
      <c r="I547" s="167"/>
      <c r="J547" s="167"/>
    </row>
    <row r="548" spans="2:10" s="13" customFormat="1">
      <c r="B548" s="165"/>
      <c r="C548" s="165"/>
      <c r="D548" s="165"/>
      <c r="E548" s="166"/>
      <c r="F548" s="166"/>
      <c r="G548" s="167"/>
      <c r="H548" s="165"/>
      <c r="I548" s="167"/>
      <c r="J548" s="167"/>
    </row>
    <row r="549" spans="2:10" s="13" customFormat="1">
      <c r="B549" s="165"/>
      <c r="C549" s="165"/>
      <c r="D549" s="165"/>
      <c r="E549" s="166"/>
      <c r="F549" s="166"/>
      <c r="G549" s="167"/>
      <c r="H549" s="165"/>
      <c r="I549" s="167"/>
      <c r="J549" s="167"/>
    </row>
    <row r="550" spans="2:10" s="13" customFormat="1">
      <c r="B550" s="165"/>
      <c r="C550" s="165"/>
      <c r="D550" s="165"/>
      <c r="E550" s="166"/>
      <c r="F550" s="166"/>
      <c r="G550" s="167"/>
      <c r="H550" s="165"/>
      <c r="I550" s="167"/>
      <c r="J550" s="167"/>
    </row>
    <row r="551" spans="2:10" s="13" customFormat="1">
      <c r="B551" s="165"/>
      <c r="C551" s="165"/>
      <c r="D551" s="165"/>
      <c r="E551" s="166"/>
      <c r="F551" s="166"/>
      <c r="G551" s="167"/>
      <c r="H551" s="165"/>
      <c r="I551" s="167"/>
      <c r="J551" s="167"/>
    </row>
    <row r="552" spans="2:10" s="13" customFormat="1">
      <c r="B552" s="165"/>
      <c r="C552" s="165"/>
      <c r="D552" s="165"/>
      <c r="E552" s="166"/>
      <c r="F552" s="166"/>
      <c r="G552" s="167"/>
      <c r="H552" s="165"/>
      <c r="I552" s="167"/>
      <c r="J552" s="167"/>
    </row>
    <row r="553" spans="2:10" s="13" customFormat="1">
      <c r="B553" s="165"/>
      <c r="C553" s="165"/>
      <c r="D553" s="165"/>
      <c r="E553" s="166"/>
      <c r="F553" s="166"/>
      <c r="G553" s="167"/>
      <c r="H553" s="165"/>
      <c r="I553" s="167"/>
      <c r="J553" s="167"/>
    </row>
    <row r="554" spans="2:10" s="13" customFormat="1">
      <c r="B554" s="165"/>
      <c r="C554" s="165"/>
      <c r="D554" s="165"/>
      <c r="E554" s="166"/>
      <c r="F554" s="166"/>
      <c r="G554" s="167"/>
      <c r="H554" s="165"/>
      <c r="I554" s="167"/>
      <c r="J554" s="167"/>
    </row>
    <row r="555" spans="2:10" s="13" customFormat="1">
      <c r="B555" s="165"/>
      <c r="C555" s="165"/>
      <c r="D555" s="165"/>
      <c r="E555" s="166"/>
      <c r="F555" s="166"/>
      <c r="G555" s="167"/>
      <c r="H555" s="165"/>
      <c r="I555" s="167"/>
      <c r="J555" s="167"/>
    </row>
    <row r="556" spans="2:10" s="13" customFormat="1">
      <c r="B556" s="165"/>
      <c r="C556" s="165"/>
      <c r="D556" s="165"/>
      <c r="E556" s="166"/>
      <c r="F556" s="166"/>
      <c r="G556" s="167"/>
      <c r="H556" s="165"/>
      <c r="I556" s="167"/>
      <c r="J556" s="167"/>
    </row>
    <row r="557" spans="2:10" s="13" customFormat="1">
      <c r="B557" s="165"/>
      <c r="C557" s="165"/>
      <c r="D557" s="165"/>
      <c r="E557" s="166"/>
      <c r="F557" s="166"/>
      <c r="G557" s="167"/>
      <c r="H557" s="165"/>
      <c r="I557" s="167"/>
      <c r="J557" s="167"/>
    </row>
    <row r="558" spans="2:10" s="13" customFormat="1">
      <c r="B558" s="165"/>
      <c r="C558" s="165"/>
      <c r="D558" s="165"/>
      <c r="E558" s="166"/>
      <c r="F558" s="166"/>
      <c r="G558" s="167"/>
      <c r="H558" s="165"/>
      <c r="I558" s="167"/>
      <c r="J558" s="167"/>
    </row>
    <row r="559" spans="2:10" s="13" customFormat="1">
      <c r="B559" s="165"/>
      <c r="C559" s="165"/>
      <c r="D559" s="165"/>
      <c r="E559" s="166"/>
      <c r="F559" s="166"/>
      <c r="G559" s="167"/>
      <c r="H559" s="165"/>
      <c r="I559" s="167"/>
      <c r="J559" s="167"/>
    </row>
    <row r="560" spans="2:10" s="13" customFormat="1">
      <c r="B560" s="165"/>
      <c r="C560" s="165"/>
      <c r="D560" s="165"/>
      <c r="E560" s="166"/>
      <c r="F560" s="166"/>
      <c r="G560" s="167"/>
      <c r="H560" s="165"/>
      <c r="I560" s="167"/>
      <c r="J560" s="167"/>
    </row>
    <row r="561" spans="2:10" s="13" customFormat="1">
      <c r="B561" s="165"/>
      <c r="C561" s="165"/>
      <c r="D561" s="165"/>
      <c r="E561" s="166"/>
      <c r="F561" s="166"/>
      <c r="G561" s="167"/>
      <c r="H561" s="165"/>
      <c r="I561" s="167"/>
      <c r="J561" s="167"/>
    </row>
    <row r="562" spans="2:10" s="13" customFormat="1">
      <c r="B562" s="165"/>
      <c r="C562" s="165"/>
      <c r="D562" s="165"/>
      <c r="E562" s="166"/>
      <c r="F562" s="166"/>
      <c r="G562" s="167"/>
      <c r="H562" s="165"/>
      <c r="I562" s="167"/>
      <c r="J562" s="167"/>
    </row>
    <row r="563" spans="2:10" s="13" customFormat="1">
      <c r="B563" s="165"/>
      <c r="C563" s="165"/>
      <c r="D563" s="165"/>
      <c r="E563" s="166"/>
      <c r="F563" s="166"/>
      <c r="G563" s="167"/>
      <c r="H563" s="165"/>
      <c r="I563" s="167"/>
      <c r="J563" s="167"/>
    </row>
    <row r="564" spans="2:10" s="13" customFormat="1">
      <c r="B564" s="165"/>
      <c r="C564" s="165"/>
      <c r="D564" s="165"/>
      <c r="E564" s="166"/>
      <c r="F564" s="166"/>
      <c r="G564" s="167"/>
      <c r="H564" s="165"/>
      <c r="I564" s="167"/>
      <c r="J564" s="167"/>
    </row>
    <row r="565" spans="2:10" s="13" customFormat="1">
      <c r="B565" s="165"/>
      <c r="C565" s="165"/>
      <c r="D565" s="165"/>
      <c r="E565" s="166"/>
      <c r="F565" s="166"/>
      <c r="G565" s="167"/>
      <c r="H565" s="165"/>
      <c r="I565" s="167"/>
      <c r="J565" s="167"/>
    </row>
    <row r="566" spans="2:10" s="13" customFormat="1">
      <c r="B566" s="165"/>
      <c r="C566" s="165"/>
      <c r="D566" s="165"/>
      <c r="E566" s="166"/>
      <c r="F566" s="166"/>
      <c r="G566" s="167"/>
      <c r="H566" s="165"/>
      <c r="I566" s="167"/>
      <c r="J566" s="167"/>
    </row>
    <row r="567" spans="2:10" s="13" customFormat="1">
      <c r="B567" s="165"/>
      <c r="C567" s="165"/>
      <c r="D567" s="165"/>
      <c r="E567" s="166"/>
      <c r="F567" s="166"/>
      <c r="G567" s="167"/>
      <c r="H567" s="165"/>
      <c r="I567" s="167"/>
      <c r="J567" s="167"/>
    </row>
    <row r="568" spans="2:10" s="13" customFormat="1">
      <c r="B568" s="165"/>
      <c r="C568" s="165"/>
      <c r="D568" s="165"/>
      <c r="E568" s="166"/>
      <c r="F568" s="166"/>
      <c r="G568" s="167"/>
      <c r="H568" s="165"/>
      <c r="I568" s="167"/>
      <c r="J568" s="167"/>
    </row>
    <row r="569" spans="2:10" s="13" customFormat="1">
      <c r="B569" s="165"/>
      <c r="C569" s="165"/>
      <c r="D569" s="165"/>
      <c r="E569" s="166"/>
      <c r="F569" s="166"/>
      <c r="G569" s="167"/>
      <c r="H569" s="165"/>
      <c r="I569" s="167"/>
      <c r="J569" s="167"/>
    </row>
    <row r="570" spans="2:10" s="13" customFormat="1">
      <c r="B570" s="165"/>
      <c r="C570" s="165"/>
      <c r="D570" s="165"/>
      <c r="E570" s="166"/>
      <c r="F570" s="166"/>
      <c r="G570" s="167"/>
      <c r="H570" s="165"/>
      <c r="I570" s="167"/>
      <c r="J570" s="167"/>
    </row>
    <row r="571" spans="2:10" s="13" customFormat="1">
      <c r="B571" s="165"/>
      <c r="C571" s="165"/>
      <c r="D571" s="165"/>
      <c r="E571" s="166"/>
      <c r="F571" s="166"/>
      <c r="G571" s="167"/>
      <c r="H571" s="165"/>
      <c r="I571" s="167"/>
      <c r="J571" s="167"/>
    </row>
    <row r="572" spans="2:10" s="13" customFormat="1">
      <c r="B572" s="165"/>
      <c r="C572" s="165"/>
      <c r="D572" s="165"/>
      <c r="E572" s="166"/>
      <c r="F572" s="166"/>
      <c r="G572" s="167"/>
      <c r="H572" s="165"/>
      <c r="I572" s="167"/>
      <c r="J572" s="167"/>
    </row>
    <row r="573" spans="2:10" s="13" customFormat="1">
      <c r="B573" s="165"/>
      <c r="C573" s="165"/>
      <c r="D573" s="165"/>
      <c r="E573" s="166"/>
      <c r="F573" s="166"/>
      <c r="G573" s="167"/>
      <c r="H573" s="165"/>
      <c r="I573" s="167"/>
      <c r="J573" s="167"/>
    </row>
    <row r="574" spans="2:10" s="13" customFormat="1">
      <c r="B574" s="165"/>
      <c r="C574" s="165"/>
      <c r="D574" s="165"/>
      <c r="E574" s="166"/>
      <c r="F574" s="166"/>
      <c r="G574" s="167"/>
      <c r="H574" s="165"/>
      <c r="I574" s="167"/>
      <c r="J574" s="167"/>
    </row>
    <row r="575" spans="2:10" s="13" customFormat="1">
      <c r="B575" s="165"/>
      <c r="C575" s="165"/>
      <c r="D575" s="165"/>
      <c r="E575" s="166"/>
      <c r="F575" s="166"/>
      <c r="G575" s="167"/>
      <c r="H575" s="165"/>
      <c r="I575" s="167"/>
      <c r="J575" s="167"/>
    </row>
    <row r="576" spans="2:10" s="13" customFormat="1">
      <c r="B576" s="165"/>
      <c r="C576" s="165"/>
      <c r="D576" s="165"/>
      <c r="E576" s="166"/>
      <c r="F576" s="166"/>
      <c r="G576" s="167"/>
      <c r="H576" s="165"/>
      <c r="I576" s="167"/>
      <c r="J576" s="167"/>
    </row>
    <row r="577" spans="2:10" s="13" customFormat="1">
      <c r="B577" s="165"/>
      <c r="C577" s="165"/>
      <c r="D577" s="165"/>
      <c r="E577" s="166"/>
      <c r="F577" s="166"/>
      <c r="G577" s="167"/>
      <c r="H577" s="165"/>
      <c r="I577" s="167"/>
      <c r="J577" s="167"/>
    </row>
    <row r="578" spans="2:10" s="13" customFormat="1">
      <c r="B578" s="165"/>
      <c r="C578" s="165"/>
      <c r="D578" s="165"/>
      <c r="E578" s="166"/>
      <c r="F578" s="166"/>
      <c r="G578" s="167"/>
      <c r="H578" s="165"/>
      <c r="I578" s="167"/>
      <c r="J578" s="167"/>
    </row>
    <row r="579" spans="2:10" s="13" customFormat="1">
      <c r="B579" s="165"/>
      <c r="C579" s="165"/>
      <c r="D579" s="165"/>
      <c r="E579" s="166"/>
      <c r="F579" s="166"/>
      <c r="G579" s="167"/>
      <c r="H579" s="165"/>
      <c r="I579" s="167"/>
      <c r="J579" s="167"/>
    </row>
    <row r="580" spans="2:10" s="13" customFormat="1">
      <c r="B580" s="165"/>
      <c r="C580" s="165"/>
      <c r="D580" s="165"/>
      <c r="E580" s="166"/>
      <c r="F580" s="166"/>
      <c r="G580" s="167"/>
      <c r="H580" s="165"/>
      <c r="I580" s="167"/>
      <c r="J580" s="167"/>
    </row>
    <row r="581" spans="2:10" s="13" customFormat="1">
      <c r="B581" s="165"/>
      <c r="C581" s="165"/>
      <c r="D581" s="165"/>
      <c r="E581" s="166"/>
      <c r="F581" s="166"/>
      <c r="G581" s="167"/>
      <c r="H581" s="165"/>
      <c r="I581" s="167"/>
      <c r="J581" s="167"/>
    </row>
    <row r="582" spans="2:10" s="13" customFormat="1">
      <c r="B582" s="165"/>
      <c r="C582" s="165"/>
      <c r="D582" s="165"/>
      <c r="E582" s="166"/>
      <c r="F582" s="166"/>
      <c r="G582" s="167"/>
      <c r="H582" s="165"/>
      <c r="I582" s="167"/>
      <c r="J582" s="167"/>
    </row>
    <row r="583" spans="2:10" s="13" customFormat="1">
      <c r="B583" s="165"/>
      <c r="C583" s="165"/>
      <c r="D583" s="165"/>
      <c r="E583" s="166"/>
      <c r="F583" s="166"/>
      <c r="G583" s="167"/>
      <c r="H583" s="165"/>
      <c r="I583" s="167"/>
      <c r="J583" s="167"/>
    </row>
    <row r="584" spans="2:10" s="13" customFormat="1">
      <c r="B584" s="165"/>
      <c r="C584" s="165"/>
      <c r="D584" s="165"/>
      <c r="E584" s="166"/>
      <c r="F584" s="166"/>
      <c r="G584" s="167"/>
      <c r="H584" s="165"/>
      <c r="I584" s="167"/>
      <c r="J584" s="167"/>
    </row>
    <row r="585" spans="2:10" s="13" customFormat="1">
      <c r="B585" s="165"/>
      <c r="C585" s="165"/>
      <c r="D585" s="165"/>
      <c r="E585" s="166"/>
      <c r="F585" s="166"/>
      <c r="G585" s="167"/>
      <c r="H585" s="165"/>
      <c r="I585" s="167"/>
      <c r="J585" s="167"/>
    </row>
    <row r="586" spans="2:10" s="13" customFormat="1">
      <c r="B586" s="165"/>
      <c r="C586" s="165"/>
      <c r="D586" s="165"/>
      <c r="E586" s="166"/>
      <c r="F586" s="166"/>
      <c r="G586" s="167"/>
      <c r="H586" s="165"/>
      <c r="I586" s="167"/>
      <c r="J586" s="167"/>
    </row>
    <row r="587" spans="2:10" s="13" customFormat="1">
      <c r="B587" s="165"/>
      <c r="C587" s="165"/>
      <c r="D587" s="165"/>
      <c r="E587" s="166"/>
      <c r="F587" s="166"/>
      <c r="G587" s="167"/>
      <c r="H587" s="165"/>
      <c r="I587" s="167"/>
      <c r="J587" s="167"/>
    </row>
    <row r="588" spans="2:10" s="13" customFormat="1">
      <c r="B588" s="165"/>
      <c r="C588" s="165"/>
      <c r="D588" s="165"/>
      <c r="E588" s="166"/>
      <c r="F588" s="166"/>
      <c r="G588" s="167"/>
      <c r="H588" s="165"/>
      <c r="I588" s="167"/>
      <c r="J588" s="167"/>
    </row>
    <row r="589" spans="2:10" s="13" customFormat="1">
      <c r="B589" s="165"/>
      <c r="C589" s="165"/>
      <c r="D589" s="165"/>
      <c r="E589" s="166"/>
      <c r="F589" s="166"/>
      <c r="G589" s="167"/>
      <c r="H589" s="165"/>
      <c r="I589" s="167"/>
      <c r="J589" s="167"/>
    </row>
    <row r="590" spans="2:10" s="13" customFormat="1">
      <c r="B590" s="165"/>
      <c r="C590" s="165"/>
      <c r="D590" s="165"/>
      <c r="E590" s="166"/>
      <c r="F590" s="166"/>
      <c r="G590" s="167"/>
      <c r="H590" s="165"/>
      <c r="I590" s="167"/>
      <c r="J590" s="167"/>
    </row>
    <row r="591" spans="2:10" s="13" customFormat="1">
      <c r="B591" s="165"/>
      <c r="C591" s="165"/>
      <c r="D591" s="165"/>
      <c r="E591" s="166"/>
      <c r="F591" s="166"/>
      <c r="G591" s="167"/>
      <c r="H591" s="165"/>
      <c r="I591" s="167"/>
      <c r="J591" s="167"/>
    </row>
    <row r="592" spans="2:10" s="13" customFormat="1">
      <c r="B592" s="165"/>
      <c r="C592" s="165"/>
      <c r="D592" s="165"/>
      <c r="E592" s="166"/>
      <c r="F592" s="166"/>
      <c r="G592" s="167"/>
      <c r="H592" s="165"/>
      <c r="I592" s="167"/>
      <c r="J592" s="167"/>
    </row>
    <row r="593" spans="2:10" s="13" customFormat="1">
      <c r="B593" s="165"/>
      <c r="C593" s="165"/>
      <c r="D593" s="165"/>
      <c r="E593" s="166"/>
      <c r="F593" s="166"/>
      <c r="G593" s="167"/>
      <c r="H593" s="165"/>
      <c r="I593" s="167"/>
      <c r="J593" s="167"/>
    </row>
    <row r="594" spans="2:10" s="13" customFormat="1">
      <c r="B594" s="165"/>
      <c r="C594" s="165"/>
      <c r="D594" s="165"/>
      <c r="E594" s="166"/>
      <c r="F594" s="166"/>
      <c r="G594" s="167"/>
      <c r="H594" s="165"/>
      <c r="I594" s="167"/>
      <c r="J594" s="167"/>
    </row>
    <row r="595" spans="2:10" s="13" customFormat="1">
      <c r="B595" s="165"/>
      <c r="C595" s="165"/>
      <c r="D595" s="165"/>
      <c r="E595" s="166"/>
      <c r="F595" s="166"/>
      <c r="G595" s="167"/>
      <c r="H595" s="165"/>
      <c r="I595" s="167"/>
      <c r="J595" s="167"/>
    </row>
    <row r="596" spans="2:10" s="13" customFormat="1">
      <c r="B596" s="165"/>
      <c r="C596" s="165"/>
      <c r="D596" s="165"/>
      <c r="E596" s="166"/>
      <c r="F596" s="166"/>
      <c r="G596" s="167"/>
      <c r="H596" s="165"/>
      <c r="I596" s="167"/>
      <c r="J596" s="167"/>
    </row>
    <row r="597" spans="2:10" s="13" customFormat="1">
      <c r="B597" s="165"/>
      <c r="C597" s="165"/>
      <c r="D597" s="165"/>
      <c r="E597" s="166"/>
      <c r="F597" s="166"/>
      <c r="G597" s="167"/>
      <c r="H597" s="165"/>
      <c r="I597" s="167"/>
      <c r="J597" s="167"/>
    </row>
    <row r="598" spans="2:10" s="13" customFormat="1">
      <c r="B598" s="165"/>
      <c r="C598" s="165"/>
      <c r="D598" s="165"/>
      <c r="E598" s="166"/>
      <c r="F598" s="166"/>
      <c r="G598" s="167"/>
      <c r="H598" s="165"/>
      <c r="I598" s="167"/>
      <c r="J598" s="167"/>
    </row>
    <row r="599" spans="2:10" s="13" customFormat="1">
      <c r="B599" s="165"/>
      <c r="C599" s="165"/>
      <c r="D599" s="165"/>
      <c r="E599" s="166"/>
      <c r="F599" s="166"/>
      <c r="G599" s="167"/>
      <c r="H599" s="165"/>
      <c r="I599" s="167"/>
      <c r="J599" s="167"/>
    </row>
    <row r="600" spans="2:10" s="13" customFormat="1">
      <c r="B600" s="165"/>
      <c r="C600" s="165"/>
      <c r="D600" s="165"/>
      <c r="E600" s="166"/>
      <c r="F600" s="166"/>
      <c r="G600" s="167"/>
      <c r="H600" s="165"/>
      <c r="I600" s="167"/>
      <c r="J600" s="167"/>
    </row>
    <row r="601" spans="2:10" s="13" customFormat="1">
      <c r="B601" s="165"/>
      <c r="C601" s="165"/>
      <c r="D601" s="165"/>
      <c r="E601" s="166"/>
      <c r="F601" s="166"/>
      <c r="G601" s="167"/>
      <c r="H601" s="165"/>
      <c r="I601" s="167"/>
      <c r="J601" s="167"/>
    </row>
    <row r="602" spans="2:10" s="13" customFormat="1">
      <c r="B602" s="165"/>
      <c r="C602" s="165"/>
      <c r="D602" s="165"/>
      <c r="E602" s="166"/>
      <c r="F602" s="166"/>
      <c r="G602" s="167"/>
      <c r="H602" s="165"/>
      <c r="I602" s="167"/>
      <c r="J602" s="167"/>
    </row>
    <row r="603" spans="2:10" s="13" customFormat="1">
      <c r="B603" s="165"/>
      <c r="C603" s="165"/>
      <c r="D603" s="165"/>
      <c r="E603" s="166"/>
      <c r="F603" s="166"/>
      <c r="G603" s="167"/>
      <c r="H603" s="165"/>
      <c r="I603" s="167"/>
      <c r="J603" s="167"/>
    </row>
    <row r="604" spans="2:10" s="13" customFormat="1">
      <c r="B604" s="165"/>
      <c r="C604" s="165"/>
      <c r="D604" s="165"/>
      <c r="E604" s="166"/>
      <c r="F604" s="166"/>
      <c r="G604" s="167"/>
      <c r="H604" s="165"/>
      <c r="I604" s="167"/>
      <c r="J604" s="167"/>
    </row>
    <row r="605" spans="2:10" s="13" customFormat="1">
      <c r="B605" s="165"/>
      <c r="C605" s="165"/>
      <c r="D605" s="165"/>
      <c r="E605" s="166"/>
      <c r="F605" s="166"/>
      <c r="G605" s="167"/>
      <c r="H605" s="165"/>
      <c r="I605" s="167"/>
      <c r="J605" s="167"/>
    </row>
    <row r="606" spans="2:10" s="13" customFormat="1">
      <c r="B606" s="165"/>
      <c r="C606" s="165"/>
      <c r="D606" s="165"/>
      <c r="E606" s="166"/>
      <c r="F606" s="166"/>
      <c r="G606" s="167"/>
      <c r="H606" s="165"/>
      <c r="I606" s="167"/>
      <c r="J606" s="167"/>
    </row>
    <row r="607" spans="2:10" s="13" customFormat="1">
      <c r="B607" s="165"/>
      <c r="C607" s="165"/>
      <c r="D607" s="165"/>
      <c r="E607" s="166"/>
      <c r="F607" s="166"/>
      <c r="G607" s="167"/>
      <c r="H607" s="165"/>
      <c r="I607" s="167"/>
      <c r="J607" s="167"/>
    </row>
    <row r="608" spans="2:10" s="13" customFormat="1">
      <c r="B608" s="165"/>
      <c r="C608" s="165"/>
      <c r="D608" s="165"/>
      <c r="E608" s="166"/>
      <c r="F608" s="166"/>
      <c r="G608" s="167"/>
      <c r="H608" s="165"/>
      <c r="I608" s="167"/>
      <c r="J608" s="167"/>
    </row>
    <row r="609" spans="2:10" s="13" customFormat="1">
      <c r="B609" s="165"/>
      <c r="C609" s="165"/>
      <c r="D609" s="165"/>
      <c r="E609" s="166"/>
      <c r="F609" s="166"/>
      <c r="G609" s="167"/>
      <c r="H609" s="165"/>
      <c r="I609" s="167"/>
      <c r="J609" s="167"/>
    </row>
    <row r="610" spans="2:10" s="13" customFormat="1">
      <c r="B610" s="165"/>
      <c r="C610" s="165"/>
      <c r="D610" s="165"/>
      <c r="E610" s="166"/>
      <c r="F610" s="166"/>
      <c r="G610" s="167"/>
      <c r="H610" s="165"/>
      <c r="I610" s="167"/>
      <c r="J610" s="167"/>
    </row>
    <row r="611" spans="2:10" s="13" customFormat="1">
      <c r="B611" s="165"/>
      <c r="C611" s="165"/>
      <c r="D611" s="165"/>
      <c r="E611" s="166"/>
      <c r="F611" s="166"/>
      <c r="G611" s="167"/>
      <c r="H611" s="165"/>
      <c r="I611" s="167"/>
      <c r="J611" s="167"/>
    </row>
    <row r="612" spans="2:10" s="13" customFormat="1">
      <c r="B612" s="165"/>
      <c r="C612" s="165"/>
      <c r="D612" s="165"/>
      <c r="E612" s="166"/>
      <c r="F612" s="166"/>
      <c r="G612" s="167"/>
      <c r="H612" s="165"/>
      <c r="I612" s="167"/>
      <c r="J612" s="167"/>
    </row>
    <row r="613" spans="2:10" s="13" customFormat="1">
      <c r="B613" s="165"/>
      <c r="C613" s="165"/>
      <c r="D613" s="165"/>
      <c r="E613" s="166"/>
      <c r="F613" s="166"/>
      <c r="G613" s="167"/>
      <c r="H613" s="165"/>
      <c r="I613" s="167"/>
      <c r="J613" s="167"/>
    </row>
    <row r="614" spans="2:10" s="13" customFormat="1">
      <c r="B614" s="165"/>
      <c r="C614" s="165"/>
      <c r="D614" s="165"/>
      <c r="E614" s="166"/>
      <c r="F614" s="166"/>
      <c r="G614" s="167"/>
      <c r="H614" s="165"/>
      <c r="I614" s="167"/>
      <c r="J614" s="167"/>
    </row>
    <row r="615" spans="2:10" s="13" customFormat="1">
      <c r="B615" s="165"/>
      <c r="C615" s="165"/>
      <c r="D615" s="165"/>
      <c r="E615" s="166"/>
      <c r="F615" s="166"/>
      <c r="G615" s="167"/>
      <c r="H615" s="165"/>
      <c r="I615" s="167"/>
      <c r="J615" s="167"/>
    </row>
    <row r="616" spans="2:10" s="13" customFormat="1">
      <c r="B616" s="165"/>
      <c r="C616" s="165"/>
      <c r="D616" s="165"/>
      <c r="E616" s="166"/>
      <c r="F616" s="166"/>
      <c r="G616" s="167"/>
      <c r="H616" s="165"/>
      <c r="I616" s="167"/>
      <c r="J616" s="167"/>
    </row>
    <row r="617" spans="2:10" s="13" customFormat="1">
      <c r="B617" s="165"/>
      <c r="C617" s="165"/>
      <c r="D617" s="165"/>
      <c r="E617" s="166"/>
      <c r="F617" s="166"/>
      <c r="G617" s="167"/>
      <c r="H617" s="165"/>
      <c r="I617" s="167"/>
      <c r="J617" s="167"/>
    </row>
    <row r="618" spans="2:10" s="13" customFormat="1">
      <c r="B618" s="165"/>
      <c r="C618" s="165"/>
      <c r="D618" s="165"/>
      <c r="E618" s="166"/>
      <c r="F618" s="166"/>
      <c r="G618" s="167"/>
      <c r="H618" s="165"/>
      <c r="I618" s="167"/>
      <c r="J618" s="167"/>
    </row>
    <row r="619" spans="2:10" s="13" customFormat="1">
      <c r="B619" s="165"/>
      <c r="C619" s="165"/>
      <c r="D619" s="165"/>
      <c r="E619" s="166"/>
      <c r="F619" s="166"/>
      <c r="G619" s="167"/>
      <c r="H619" s="165"/>
      <c r="I619" s="167"/>
      <c r="J619" s="167"/>
    </row>
    <row r="620" spans="2:10" s="13" customFormat="1">
      <c r="B620" s="165"/>
      <c r="C620" s="165"/>
      <c r="D620" s="165"/>
      <c r="E620" s="166"/>
      <c r="F620" s="166"/>
      <c r="G620" s="167"/>
      <c r="H620" s="165"/>
      <c r="I620" s="167"/>
      <c r="J620" s="167"/>
    </row>
    <row r="621" spans="2:10" s="13" customFormat="1">
      <c r="B621" s="165"/>
      <c r="C621" s="165"/>
      <c r="D621" s="165"/>
      <c r="E621" s="166"/>
      <c r="F621" s="166"/>
      <c r="G621" s="167"/>
      <c r="H621" s="165"/>
      <c r="I621" s="167"/>
      <c r="J621" s="167"/>
    </row>
    <row r="622" spans="2:10" s="13" customFormat="1">
      <c r="B622" s="165"/>
      <c r="C622" s="165"/>
      <c r="D622" s="165"/>
      <c r="E622" s="166"/>
      <c r="F622" s="166"/>
      <c r="G622" s="167"/>
      <c r="H622" s="165"/>
      <c r="I622" s="167"/>
      <c r="J622" s="167"/>
    </row>
    <row r="623" spans="2:10" s="13" customFormat="1">
      <c r="B623" s="165"/>
      <c r="C623" s="165"/>
      <c r="D623" s="165"/>
      <c r="E623" s="166"/>
      <c r="F623" s="166"/>
      <c r="G623" s="167"/>
      <c r="H623" s="165"/>
      <c r="I623" s="167"/>
      <c r="J623" s="167"/>
    </row>
    <row r="624" spans="2:10" s="176" customFormat="1">
      <c r="B624" s="174"/>
      <c r="C624" s="174"/>
      <c r="D624" s="174"/>
      <c r="E624" s="164"/>
      <c r="F624" s="164"/>
      <c r="G624" s="163"/>
      <c r="H624" s="174"/>
      <c r="I624" s="163"/>
      <c r="J624" s="163"/>
    </row>
    <row r="625" spans="1:7" s="176" customFormat="1">
      <c r="E625" s="178"/>
      <c r="F625" s="178"/>
      <c r="G625" s="163"/>
    </row>
    <row r="626" spans="1:7" s="13" customFormat="1">
      <c r="E626" s="177"/>
      <c r="F626" s="177"/>
    </row>
    <row r="627" spans="1:7" s="13" customFormat="1"/>
    <row r="628" spans="1:7" s="13" customFormat="1">
      <c r="A628" s="179" t="s">
        <v>255</v>
      </c>
    </row>
    <row r="629" spans="1:7" s="13" customFormat="1">
      <c r="A629" s="179" t="s">
        <v>256</v>
      </c>
      <c r="D629" s="13" t="e">
        <f>E17+#REF!+#REF!</f>
        <v>#REF!</v>
      </c>
    </row>
    <row r="630" spans="1:7" s="13" customFormat="1">
      <c r="A630" s="179" t="s">
        <v>257</v>
      </c>
      <c r="D630" s="13" t="e">
        <f>E17+#REF!</f>
        <v>#REF!</v>
      </c>
    </row>
    <row r="631" spans="1:7" s="13" customFormat="1">
      <c r="A631" s="179" t="s">
        <v>258</v>
      </c>
      <c r="D631" s="13" t="e">
        <f>#REF!*3</f>
        <v>#REF!</v>
      </c>
    </row>
    <row r="632" spans="1:7" s="13" customFormat="1"/>
    <row r="633" spans="1:7" s="13" customFormat="1">
      <c r="A633" s="179" t="s">
        <v>259</v>
      </c>
      <c r="D633" s="13" t="e">
        <f>D17+#REF!+#REF!</f>
        <v>#REF!</v>
      </c>
    </row>
    <row r="634" spans="1:7" s="13" customFormat="1">
      <c r="A634" s="179" t="s">
        <v>260</v>
      </c>
      <c r="D634" s="13" t="e">
        <f>D17+#REF!</f>
        <v>#REF!</v>
      </c>
    </row>
    <row r="635" spans="1:7" s="13" customFormat="1">
      <c r="E635" s="177"/>
      <c r="F635" s="177"/>
    </row>
    <row r="636" spans="1:7" s="13" customFormat="1">
      <c r="E636" s="177"/>
      <c r="F636" s="177"/>
    </row>
    <row r="637" spans="1:7" s="13" customFormat="1">
      <c r="E637" s="177"/>
      <c r="F637" s="177"/>
    </row>
    <row r="638" spans="1:7" s="13" customFormat="1">
      <c r="E638" s="177"/>
      <c r="F638" s="177"/>
    </row>
    <row r="639" spans="1:7" s="13" customFormat="1">
      <c r="E639" s="177"/>
      <c r="F639" s="177"/>
    </row>
    <row r="640" spans="1:7" s="13" customFormat="1">
      <c r="E640" s="177"/>
      <c r="F640" s="177"/>
    </row>
    <row r="641" spans="5:6" s="13" customFormat="1">
      <c r="E641" s="177"/>
      <c r="F641" s="177"/>
    </row>
    <row r="642" spans="5:6" s="13" customFormat="1">
      <c r="E642" s="177"/>
      <c r="F642" s="177"/>
    </row>
    <row r="643" spans="5:6" s="13" customFormat="1">
      <c r="E643" s="177"/>
      <c r="F643" s="177"/>
    </row>
    <row r="644" spans="5:6" s="13" customFormat="1">
      <c r="E644" s="177"/>
      <c r="F644" s="177"/>
    </row>
    <row r="645" spans="5:6" s="13" customFormat="1">
      <c r="E645" s="177"/>
      <c r="F645" s="177"/>
    </row>
    <row r="646" spans="5:6" s="13" customFormat="1">
      <c r="E646" s="177"/>
      <c r="F646" s="177"/>
    </row>
    <row r="647" spans="5:6" s="13" customFormat="1">
      <c r="E647" s="177"/>
      <c r="F647" s="177"/>
    </row>
    <row r="648" spans="5:6" s="13" customFormat="1">
      <c r="E648" s="177"/>
      <c r="F648" s="177"/>
    </row>
    <row r="649" spans="5:6" s="13" customFormat="1">
      <c r="E649" s="177"/>
      <c r="F649" s="177"/>
    </row>
    <row r="650" spans="5:6" s="13" customFormat="1">
      <c r="E650" s="177"/>
      <c r="F650" s="177"/>
    </row>
    <row r="651" spans="5:6" s="13" customFormat="1">
      <c r="E651" s="177"/>
      <c r="F651" s="177"/>
    </row>
    <row r="652" spans="5:6" s="13" customFormat="1">
      <c r="E652" s="177"/>
      <c r="F652" s="177"/>
    </row>
    <row r="653" spans="5:6" s="13" customFormat="1">
      <c r="E653" s="177"/>
      <c r="F653" s="177"/>
    </row>
    <row r="654" spans="5:6" s="13" customFormat="1">
      <c r="E654" s="177"/>
      <c r="F654" s="177"/>
    </row>
    <row r="655" spans="5:6" s="13" customFormat="1">
      <c r="E655" s="177"/>
      <c r="F655" s="177"/>
    </row>
    <row r="656" spans="5:6" s="13" customFormat="1">
      <c r="E656" s="177"/>
      <c r="F656" s="177"/>
    </row>
    <row r="657" spans="5:6" s="13" customFormat="1">
      <c r="E657" s="177"/>
      <c r="F657" s="177"/>
    </row>
    <row r="658" spans="5:6" s="13" customFormat="1">
      <c r="E658" s="177"/>
      <c r="F658" s="177"/>
    </row>
    <row r="659" spans="5:6" s="13" customFormat="1">
      <c r="E659" s="177"/>
      <c r="F659" s="177"/>
    </row>
    <row r="660" spans="5:6" s="13" customFormat="1">
      <c r="E660" s="177"/>
      <c r="F660" s="177"/>
    </row>
    <row r="661" spans="5:6" s="13" customFormat="1">
      <c r="E661" s="177"/>
      <c r="F661" s="177"/>
    </row>
    <row r="662" spans="5:6" s="13" customFormat="1">
      <c r="E662" s="177"/>
      <c r="F662" s="177"/>
    </row>
    <row r="663" spans="5:6" s="13" customFormat="1">
      <c r="E663" s="177"/>
      <c r="F663" s="177"/>
    </row>
    <row r="664" spans="5:6" s="13" customFormat="1">
      <c r="E664" s="177"/>
      <c r="F664" s="177"/>
    </row>
    <row r="665" spans="5:6" s="13" customFormat="1">
      <c r="E665" s="177"/>
      <c r="F665" s="177"/>
    </row>
    <row r="666" spans="5:6" s="13" customFormat="1">
      <c r="E666" s="177"/>
      <c r="F666" s="177"/>
    </row>
    <row r="667" spans="5:6" s="13" customFormat="1">
      <c r="E667" s="177"/>
      <c r="F667" s="177"/>
    </row>
    <row r="668" spans="5:6" s="13" customFormat="1">
      <c r="E668" s="177"/>
      <c r="F668" s="177"/>
    </row>
    <row r="669" spans="5:6" s="13" customFormat="1">
      <c r="E669" s="177"/>
      <c r="F669" s="177"/>
    </row>
    <row r="670" spans="5:6" s="13" customFormat="1">
      <c r="E670" s="177"/>
      <c r="F670" s="177"/>
    </row>
    <row r="671" spans="5:6" s="13" customFormat="1">
      <c r="E671" s="177"/>
      <c r="F671" s="177"/>
    </row>
    <row r="672" spans="5:6" s="13" customFormat="1">
      <c r="E672" s="177"/>
      <c r="F672" s="177"/>
    </row>
    <row r="673" spans="5:6" s="13" customFormat="1">
      <c r="E673" s="177"/>
      <c r="F673" s="177"/>
    </row>
    <row r="674" spans="5:6" s="13" customFormat="1">
      <c r="E674" s="177"/>
      <c r="F674" s="177"/>
    </row>
    <row r="675" spans="5:6" s="13" customFormat="1">
      <c r="E675" s="177"/>
      <c r="F675" s="177"/>
    </row>
    <row r="676" spans="5:6" s="13" customFormat="1">
      <c r="E676" s="177"/>
      <c r="F676" s="177"/>
    </row>
    <row r="677" spans="5:6" s="13" customFormat="1">
      <c r="E677" s="177"/>
      <c r="F677" s="177"/>
    </row>
    <row r="678" spans="5:6" s="13" customFormat="1">
      <c r="E678" s="177"/>
      <c r="F678" s="177"/>
    </row>
    <row r="679" spans="5:6" s="13" customFormat="1">
      <c r="E679" s="177"/>
      <c r="F679" s="177"/>
    </row>
    <row r="680" spans="5:6" s="13" customFormat="1">
      <c r="E680" s="177"/>
      <c r="F680" s="177"/>
    </row>
    <row r="681" spans="5:6" s="13" customFormat="1">
      <c r="E681" s="177"/>
      <c r="F681" s="177"/>
    </row>
    <row r="682" spans="5:6" s="13" customFormat="1">
      <c r="E682" s="177"/>
      <c r="F682" s="177"/>
    </row>
    <row r="683" spans="5:6" s="13" customFormat="1">
      <c r="E683" s="177"/>
      <c r="F683" s="177"/>
    </row>
    <row r="684" spans="5:6" s="13" customFormat="1">
      <c r="E684" s="177"/>
      <c r="F684" s="177"/>
    </row>
    <row r="685" spans="5:6" s="13" customFormat="1">
      <c r="E685" s="177"/>
      <c r="F685" s="177"/>
    </row>
    <row r="686" spans="5:6" s="13" customFormat="1">
      <c r="E686" s="177"/>
      <c r="F686" s="177"/>
    </row>
    <row r="687" spans="5:6" s="13" customFormat="1">
      <c r="E687" s="177"/>
      <c r="F687" s="177"/>
    </row>
    <row r="688" spans="5:6" s="13" customFormat="1">
      <c r="E688" s="177"/>
      <c r="F688" s="177"/>
    </row>
    <row r="689" spans="5:6" s="13" customFormat="1">
      <c r="E689" s="177"/>
      <c r="F689" s="177"/>
    </row>
    <row r="690" spans="5:6" s="13" customFormat="1">
      <c r="E690" s="177"/>
      <c r="F690" s="177"/>
    </row>
    <row r="691" spans="5:6" s="13" customFormat="1">
      <c r="E691" s="177"/>
      <c r="F691" s="177"/>
    </row>
    <row r="692" spans="5:6" s="13" customFormat="1">
      <c r="E692" s="177"/>
      <c r="F692" s="177"/>
    </row>
    <row r="693" spans="5:6" s="13" customFormat="1">
      <c r="E693" s="177"/>
      <c r="F693" s="177"/>
    </row>
    <row r="694" spans="5:6" s="13" customFormat="1">
      <c r="E694" s="177"/>
      <c r="F694" s="177"/>
    </row>
    <row r="695" spans="5:6" s="13" customFormat="1">
      <c r="E695" s="177"/>
      <c r="F695" s="177"/>
    </row>
    <row r="696" spans="5:6" s="13" customFormat="1">
      <c r="E696" s="177"/>
      <c r="F696" s="177"/>
    </row>
    <row r="697" spans="5:6" s="13" customFormat="1">
      <c r="E697" s="177"/>
      <c r="F697" s="177"/>
    </row>
    <row r="698" spans="5:6" s="13" customFormat="1">
      <c r="E698" s="177"/>
      <c r="F698" s="177"/>
    </row>
    <row r="699" spans="5:6" s="13" customFormat="1">
      <c r="E699" s="177"/>
      <c r="F699" s="177"/>
    </row>
    <row r="700" spans="5:6" s="13" customFormat="1">
      <c r="E700" s="177"/>
      <c r="F700" s="177"/>
    </row>
    <row r="701" spans="5:6" s="13" customFormat="1">
      <c r="E701" s="177"/>
      <c r="F701" s="177"/>
    </row>
    <row r="702" spans="5:6" s="13" customFormat="1">
      <c r="E702" s="177"/>
      <c r="F702" s="177"/>
    </row>
    <row r="703" spans="5:6" s="13" customFormat="1">
      <c r="E703" s="177"/>
      <c r="F703" s="177"/>
    </row>
    <row r="704" spans="5:6" s="13" customFormat="1">
      <c r="E704" s="177"/>
      <c r="F704" s="177"/>
    </row>
    <row r="705" spans="5:6" s="13" customFormat="1">
      <c r="E705" s="177"/>
      <c r="F705" s="177"/>
    </row>
  </sheetData>
  <mergeCells count="22">
    <mergeCell ref="A38:C38"/>
    <mergeCell ref="A42:C42"/>
    <mergeCell ref="G45:K45"/>
    <mergeCell ref="H21:L21"/>
    <mergeCell ref="H23:L23"/>
    <mergeCell ref="H24:L24"/>
    <mergeCell ref="A26:C26"/>
    <mergeCell ref="F27:K27"/>
    <mergeCell ref="A30:C30"/>
    <mergeCell ref="A20:C20"/>
    <mergeCell ref="H20:K20"/>
    <mergeCell ref="D1:F1"/>
    <mergeCell ref="H4:I4"/>
    <mergeCell ref="A8:B8"/>
    <mergeCell ref="H8:L8"/>
    <mergeCell ref="A11:B11"/>
    <mergeCell ref="H11:L11"/>
    <mergeCell ref="A13:B13"/>
    <mergeCell ref="H13:L13"/>
    <mergeCell ref="A16:B16"/>
    <mergeCell ref="A17:B17"/>
    <mergeCell ref="H17:L17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Q622"/>
  <sheetViews>
    <sheetView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" sqref="F1:L1048576"/>
    </sheetView>
  </sheetViews>
  <sheetFormatPr baseColWidth="10" defaultRowHeight="15"/>
  <cols>
    <col min="2" max="2" width="12.42578125" bestFit="1" customWidth="1"/>
    <col min="3" max="3" width="30.140625" bestFit="1" customWidth="1"/>
    <col min="4" max="4" width="51.7109375" customWidth="1"/>
    <col min="5" max="5" width="20.85546875" bestFit="1" customWidth="1"/>
    <col min="6" max="6" width="15" hidden="1" customWidth="1"/>
    <col min="7" max="7" width="11.28515625" hidden="1" customWidth="1"/>
    <col min="8" max="8" width="13.7109375" hidden="1" customWidth="1"/>
    <col min="9" max="9" width="11.140625" hidden="1" customWidth="1"/>
    <col min="10" max="10" width="9.42578125" hidden="1" customWidth="1"/>
    <col min="11" max="11" width="12.42578125" hidden="1" customWidth="1"/>
    <col min="12" max="12" width="9.140625" hidden="1" customWidth="1"/>
    <col min="13" max="13" width="20.85546875" customWidth="1"/>
    <col min="14" max="14" width="36.7109375" customWidth="1"/>
    <col min="15" max="15" width="5.5703125" bestFit="1" customWidth="1"/>
    <col min="16" max="16" width="27.140625" bestFit="1" customWidth="1"/>
    <col min="17" max="17" width="13.7109375" bestFit="1" customWidth="1"/>
  </cols>
  <sheetData>
    <row r="1" spans="1:17" ht="60">
      <c r="A1" s="13">
        <v>1</v>
      </c>
      <c r="B1" s="161" t="s">
        <v>261</v>
      </c>
      <c r="C1" s="161" t="s">
        <v>262</v>
      </c>
      <c r="D1" s="161" t="s">
        <v>263</v>
      </c>
      <c r="E1" s="161" t="s">
        <v>264</v>
      </c>
      <c r="F1" s="218" t="s">
        <v>2569</v>
      </c>
      <c r="G1" s="219" t="s">
        <v>2570</v>
      </c>
      <c r="H1" s="220" t="s">
        <v>2571</v>
      </c>
      <c r="I1" s="221" t="s">
        <v>2572</v>
      </c>
      <c r="J1" s="221" t="s">
        <v>2573</v>
      </c>
      <c r="K1" s="220" t="s">
        <v>2574</v>
      </c>
      <c r="L1" s="221" t="s">
        <v>2575</v>
      </c>
      <c r="M1" s="220" t="s">
        <v>2576</v>
      </c>
      <c r="N1" s="161" t="s">
        <v>265</v>
      </c>
      <c r="O1" s="161" t="s">
        <v>266</v>
      </c>
      <c r="P1" s="161" t="s">
        <v>267</v>
      </c>
      <c r="Q1" s="161" t="s">
        <v>268</v>
      </c>
    </row>
    <row r="2" spans="1:17" s="201" customFormat="1">
      <c r="A2" s="13">
        <v>2</v>
      </c>
      <c r="B2" s="199" t="s">
        <v>338</v>
      </c>
      <c r="C2" s="199" t="s">
        <v>339</v>
      </c>
      <c r="D2" s="199" t="s">
        <v>340</v>
      </c>
      <c r="E2" s="199" t="s">
        <v>341</v>
      </c>
      <c r="F2" s="222">
        <f t="shared" ref="F2:F41" si="0">LEN(E2)</f>
        <v>12</v>
      </c>
      <c r="G2" s="223" t="str">
        <f t="shared" ref="G2:G41" si="1">IF(F2=12,LEFT(E2,1),LEFT(E2,2))</f>
        <v>5</v>
      </c>
      <c r="H2" s="224">
        <f t="shared" ref="H2:H41" si="2">VALUE(G2)</f>
        <v>5</v>
      </c>
      <c r="I2" s="223" t="str">
        <f t="shared" ref="I2:I41" si="3">RIGHT(E2,7)</f>
        <v>45 min.</v>
      </c>
      <c r="J2" s="223" t="str">
        <f t="shared" ref="J2:J41" si="4">LEFT(I2,2)</f>
        <v>45</v>
      </c>
      <c r="K2" s="224">
        <f t="shared" ref="K2:K41" si="5">VALUE(J2)</f>
        <v>45</v>
      </c>
      <c r="L2" s="223" t="str">
        <f t="shared" ref="L2:L41" si="6">H2&amp;":"&amp;K2</f>
        <v>5:45</v>
      </c>
      <c r="M2" s="225">
        <f t="shared" ref="M2:M41" si="7">VALUE(L2)</f>
        <v>0.23958333333333334</v>
      </c>
      <c r="N2" s="200" t="s">
        <v>342</v>
      </c>
      <c r="O2" s="199" t="s">
        <v>343</v>
      </c>
      <c r="P2" s="200" t="s">
        <v>344</v>
      </c>
      <c r="Q2" s="200" t="s">
        <v>276</v>
      </c>
    </row>
    <row r="3" spans="1:17" s="201" customFormat="1">
      <c r="A3" s="13">
        <v>3</v>
      </c>
      <c r="B3" s="199" t="s">
        <v>351</v>
      </c>
      <c r="C3" s="199" t="s">
        <v>352</v>
      </c>
      <c r="D3" s="199" t="s">
        <v>353</v>
      </c>
      <c r="E3" s="199" t="s">
        <v>354</v>
      </c>
      <c r="F3" s="222">
        <f t="shared" si="0"/>
        <v>12</v>
      </c>
      <c r="G3" s="223" t="str">
        <f t="shared" si="1"/>
        <v>8</v>
      </c>
      <c r="H3" s="224">
        <f t="shared" si="2"/>
        <v>8</v>
      </c>
      <c r="I3" s="223" t="str">
        <f t="shared" si="3"/>
        <v>43 min.</v>
      </c>
      <c r="J3" s="223" t="str">
        <f t="shared" si="4"/>
        <v>43</v>
      </c>
      <c r="K3" s="224">
        <f t="shared" si="5"/>
        <v>43</v>
      </c>
      <c r="L3" s="223" t="str">
        <f t="shared" si="6"/>
        <v>8:43</v>
      </c>
      <c r="M3" s="225">
        <f t="shared" si="7"/>
        <v>0.36319444444444443</v>
      </c>
      <c r="N3" s="200" t="s">
        <v>355</v>
      </c>
      <c r="O3" s="199" t="s">
        <v>303</v>
      </c>
      <c r="P3" s="200" t="s">
        <v>344</v>
      </c>
      <c r="Q3" s="200" t="s">
        <v>276</v>
      </c>
    </row>
    <row r="4" spans="1:17" s="201" customFormat="1">
      <c r="A4" s="13">
        <v>4</v>
      </c>
      <c r="B4" s="199" t="s">
        <v>387</v>
      </c>
      <c r="C4" s="199" t="s">
        <v>388</v>
      </c>
      <c r="D4" s="199" t="s">
        <v>389</v>
      </c>
      <c r="E4" s="199" t="s">
        <v>390</v>
      </c>
      <c r="F4" s="222">
        <f t="shared" si="0"/>
        <v>12</v>
      </c>
      <c r="G4" s="223" t="str">
        <f t="shared" si="1"/>
        <v>6</v>
      </c>
      <c r="H4" s="224">
        <f t="shared" si="2"/>
        <v>6</v>
      </c>
      <c r="I4" s="223" t="str">
        <f t="shared" si="3"/>
        <v>08 min.</v>
      </c>
      <c r="J4" s="223" t="str">
        <f t="shared" si="4"/>
        <v>08</v>
      </c>
      <c r="K4" s="224">
        <f t="shared" si="5"/>
        <v>8</v>
      </c>
      <c r="L4" s="223" t="str">
        <f t="shared" si="6"/>
        <v>6:8</v>
      </c>
      <c r="M4" s="225">
        <f t="shared" si="7"/>
        <v>0.25555555555555559</v>
      </c>
      <c r="N4" s="200" t="s">
        <v>391</v>
      </c>
      <c r="O4" s="199" t="s">
        <v>303</v>
      </c>
      <c r="P4" s="200" t="s">
        <v>344</v>
      </c>
      <c r="Q4" s="200" t="s">
        <v>276</v>
      </c>
    </row>
    <row r="5" spans="1:17" s="201" customFormat="1">
      <c r="A5" s="13">
        <v>5</v>
      </c>
      <c r="B5" s="199" t="s">
        <v>397</v>
      </c>
      <c r="C5" s="199" t="s">
        <v>398</v>
      </c>
      <c r="D5" s="199" t="s">
        <v>399</v>
      </c>
      <c r="E5" s="199" t="s">
        <v>400</v>
      </c>
      <c r="F5" s="222">
        <f t="shared" si="0"/>
        <v>12</v>
      </c>
      <c r="G5" s="223" t="str">
        <f t="shared" si="1"/>
        <v>5</v>
      </c>
      <c r="H5" s="224">
        <f t="shared" si="2"/>
        <v>5</v>
      </c>
      <c r="I5" s="223" t="str">
        <f t="shared" si="3"/>
        <v>19 min.</v>
      </c>
      <c r="J5" s="223" t="str">
        <f t="shared" si="4"/>
        <v>19</v>
      </c>
      <c r="K5" s="224">
        <f t="shared" si="5"/>
        <v>19</v>
      </c>
      <c r="L5" s="223" t="str">
        <f t="shared" si="6"/>
        <v>5:19</v>
      </c>
      <c r="M5" s="225">
        <f t="shared" si="7"/>
        <v>0.22152777777777777</v>
      </c>
      <c r="N5" s="200" t="s">
        <v>401</v>
      </c>
      <c r="O5" s="199" t="s">
        <v>402</v>
      </c>
      <c r="P5" s="200" t="s">
        <v>344</v>
      </c>
      <c r="Q5" s="200" t="s">
        <v>276</v>
      </c>
    </row>
    <row r="6" spans="1:17" s="201" customFormat="1">
      <c r="A6" s="13">
        <v>6</v>
      </c>
      <c r="B6" s="199" t="s">
        <v>454</v>
      </c>
      <c r="C6" s="199" t="s">
        <v>455</v>
      </c>
      <c r="D6" s="199" t="s">
        <v>456</v>
      </c>
      <c r="E6" s="199" t="s">
        <v>457</v>
      </c>
      <c r="F6" s="222">
        <f t="shared" si="0"/>
        <v>12</v>
      </c>
      <c r="G6" s="223" t="str">
        <f t="shared" si="1"/>
        <v>9</v>
      </c>
      <c r="H6" s="224">
        <f t="shared" si="2"/>
        <v>9</v>
      </c>
      <c r="I6" s="223" t="str">
        <f t="shared" si="3"/>
        <v>02 min.</v>
      </c>
      <c r="J6" s="223" t="str">
        <f t="shared" si="4"/>
        <v>02</v>
      </c>
      <c r="K6" s="224">
        <f t="shared" si="5"/>
        <v>2</v>
      </c>
      <c r="L6" s="223" t="str">
        <f t="shared" si="6"/>
        <v>9:2</v>
      </c>
      <c r="M6" s="225">
        <f t="shared" si="7"/>
        <v>0.37638888888888888</v>
      </c>
      <c r="N6" s="200" t="s">
        <v>458</v>
      </c>
      <c r="O6" s="199" t="s">
        <v>459</v>
      </c>
      <c r="P6" s="200" t="s">
        <v>344</v>
      </c>
      <c r="Q6" s="200" t="s">
        <v>276</v>
      </c>
    </row>
    <row r="7" spans="1:17" s="201" customFormat="1">
      <c r="A7" s="13">
        <v>7</v>
      </c>
      <c r="B7" s="199" t="s">
        <v>491</v>
      </c>
      <c r="C7" s="199" t="s">
        <v>492</v>
      </c>
      <c r="D7" s="199" t="s">
        <v>493</v>
      </c>
      <c r="E7" s="199" t="s">
        <v>494</v>
      </c>
      <c r="F7" s="222">
        <f t="shared" si="0"/>
        <v>13</v>
      </c>
      <c r="G7" s="223" t="str">
        <f t="shared" si="1"/>
        <v>27</v>
      </c>
      <c r="H7" s="224">
        <f t="shared" si="2"/>
        <v>27</v>
      </c>
      <c r="I7" s="223" t="str">
        <f t="shared" si="3"/>
        <v>16 min.</v>
      </c>
      <c r="J7" s="223" t="str">
        <f t="shared" si="4"/>
        <v>16</v>
      </c>
      <c r="K7" s="224">
        <f t="shared" si="5"/>
        <v>16</v>
      </c>
      <c r="L7" s="223" t="str">
        <f t="shared" si="6"/>
        <v>27:16</v>
      </c>
      <c r="M7" s="225">
        <f t="shared" si="7"/>
        <v>1.1361111111111111</v>
      </c>
      <c r="N7" s="200" t="s">
        <v>495</v>
      </c>
      <c r="O7" s="199" t="s">
        <v>496</v>
      </c>
      <c r="P7" s="200" t="s">
        <v>344</v>
      </c>
      <c r="Q7" s="200" t="s">
        <v>276</v>
      </c>
    </row>
    <row r="8" spans="1:17" s="201" customFormat="1">
      <c r="A8" s="13">
        <v>8</v>
      </c>
      <c r="B8" s="199" t="s">
        <v>905</v>
      </c>
      <c r="C8" s="199" t="s">
        <v>906</v>
      </c>
      <c r="D8" s="199" t="s">
        <v>907</v>
      </c>
      <c r="E8" s="199" t="s">
        <v>908</v>
      </c>
      <c r="F8" s="222">
        <f t="shared" si="0"/>
        <v>12</v>
      </c>
      <c r="G8" s="223" t="str">
        <f t="shared" si="1"/>
        <v>6</v>
      </c>
      <c r="H8" s="224">
        <f t="shared" si="2"/>
        <v>6</v>
      </c>
      <c r="I8" s="223" t="str">
        <f t="shared" si="3"/>
        <v>46 min.</v>
      </c>
      <c r="J8" s="223" t="str">
        <f t="shared" si="4"/>
        <v>46</v>
      </c>
      <c r="K8" s="224">
        <f t="shared" si="5"/>
        <v>46</v>
      </c>
      <c r="L8" s="223" t="str">
        <f t="shared" si="6"/>
        <v>6:46</v>
      </c>
      <c r="M8" s="225">
        <f t="shared" si="7"/>
        <v>0.28194444444444444</v>
      </c>
      <c r="N8" s="200" t="s">
        <v>909</v>
      </c>
      <c r="O8" s="199" t="s">
        <v>303</v>
      </c>
      <c r="P8" s="200" t="s">
        <v>344</v>
      </c>
      <c r="Q8" s="200" t="s">
        <v>276</v>
      </c>
    </row>
    <row r="9" spans="1:17" s="201" customFormat="1">
      <c r="A9" s="13">
        <v>9</v>
      </c>
      <c r="B9" s="199" t="s">
        <v>946</v>
      </c>
      <c r="C9" s="199" t="s">
        <v>947</v>
      </c>
      <c r="D9" s="199" t="s">
        <v>948</v>
      </c>
      <c r="E9" s="199" t="s">
        <v>949</v>
      </c>
      <c r="F9" s="222">
        <f t="shared" si="0"/>
        <v>12</v>
      </c>
      <c r="G9" s="223" t="str">
        <f t="shared" si="1"/>
        <v>5</v>
      </c>
      <c r="H9" s="224">
        <f t="shared" si="2"/>
        <v>5</v>
      </c>
      <c r="I9" s="223" t="str">
        <f t="shared" si="3"/>
        <v>20 min.</v>
      </c>
      <c r="J9" s="223" t="str">
        <f t="shared" si="4"/>
        <v>20</v>
      </c>
      <c r="K9" s="224">
        <f t="shared" si="5"/>
        <v>20</v>
      </c>
      <c r="L9" s="223" t="str">
        <f t="shared" si="6"/>
        <v>5:20</v>
      </c>
      <c r="M9" s="225">
        <f t="shared" si="7"/>
        <v>0.22222222222222221</v>
      </c>
      <c r="N9" s="200" t="s">
        <v>950</v>
      </c>
      <c r="O9" s="199" t="s">
        <v>303</v>
      </c>
      <c r="P9" s="200" t="s">
        <v>344</v>
      </c>
      <c r="Q9" s="200" t="s">
        <v>276</v>
      </c>
    </row>
    <row r="10" spans="1:17" s="201" customFormat="1">
      <c r="A10" s="13">
        <v>10</v>
      </c>
      <c r="B10" s="199" t="s">
        <v>981</v>
      </c>
      <c r="C10" s="199" t="s">
        <v>982</v>
      </c>
      <c r="D10" s="199" t="s">
        <v>983</v>
      </c>
      <c r="E10" s="199" t="s">
        <v>984</v>
      </c>
      <c r="F10" s="222">
        <f t="shared" si="0"/>
        <v>12</v>
      </c>
      <c r="G10" s="223" t="str">
        <f t="shared" si="1"/>
        <v>3</v>
      </c>
      <c r="H10" s="224">
        <f t="shared" si="2"/>
        <v>3</v>
      </c>
      <c r="I10" s="223" t="str">
        <f t="shared" si="3"/>
        <v>25 min.</v>
      </c>
      <c r="J10" s="223" t="str">
        <f t="shared" si="4"/>
        <v>25</v>
      </c>
      <c r="K10" s="224">
        <f t="shared" si="5"/>
        <v>25</v>
      </c>
      <c r="L10" s="223" t="str">
        <f t="shared" si="6"/>
        <v>3:25</v>
      </c>
      <c r="M10" s="225">
        <f t="shared" si="7"/>
        <v>0.1423611111111111</v>
      </c>
      <c r="N10" s="200" t="s">
        <v>950</v>
      </c>
      <c r="O10" s="199" t="s">
        <v>536</v>
      </c>
      <c r="P10" s="200" t="s">
        <v>344</v>
      </c>
      <c r="Q10" s="200" t="s">
        <v>276</v>
      </c>
    </row>
    <row r="11" spans="1:17" s="201" customFormat="1">
      <c r="A11" s="13">
        <v>11</v>
      </c>
      <c r="B11" s="199" t="s">
        <v>993</v>
      </c>
      <c r="C11" s="199" t="s">
        <v>994</v>
      </c>
      <c r="D11" s="199" t="s">
        <v>995</v>
      </c>
      <c r="E11" s="199" t="s">
        <v>996</v>
      </c>
      <c r="F11" s="222">
        <f t="shared" si="0"/>
        <v>12</v>
      </c>
      <c r="G11" s="223" t="str">
        <f t="shared" si="1"/>
        <v>1</v>
      </c>
      <c r="H11" s="224">
        <f t="shared" si="2"/>
        <v>1</v>
      </c>
      <c r="I11" s="223" t="str">
        <f t="shared" si="3"/>
        <v>57 min.</v>
      </c>
      <c r="J11" s="223" t="str">
        <f t="shared" si="4"/>
        <v>57</v>
      </c>
      <c r="K11" s="224">
        <f t="shared" si="5"/>
        <v>57</v>
      </c>
      <c r="L11" s="223" t="str">
        <f t="shared" si="6"/>
        <v>1:57</v>
      </c>
      <c r="M11" s="225">
        <f t="shared" si="7"/>
        <v>8.1250000000000003E-2</v>
      </c>
      <c r="N11" s="200" t="s">
        <v>997</v>
      </c>
      <c r="O11" s="199" t="s">
        <v>303</v>
      </c>
      <c r="P11" s="200" t="s">
        <v>344</v>
      </c>
      <c r="Q11" s="200" t="s">
        <v>276</v>
      </c>
    </row>
    <row r="12" spans="1:17" s="201" customFormat="1">
      <c r="A12" s="13">
        <v>12</v>
      </c>
      <c r="B12" s="199" t="s">
        <v>1028</v>
      </c>
      <c r="C12" s="199" t="s">
        <v>1029</v>
      </c>
      <c r="D12" s="199" t="s">
        <v>1030</v>
      </c>
      <c r="E12" s="199" t="s">
        <v>1031</v>
      </c>
      <c r="F12" s="222">
        <f t="shared" si="0"/>
        <v>12</v>
      </c>
      <c r="G12" s="223" t="str">
        <f t="shared" si="1"/>
        <v>8</v>
      </c>
      <c r="H12" s="224">
        <f t="shared" si="2"/>
        <v>8</v>
      </c>
      <c r="I12" s="223" t="str">
        <f t="shared" si="3"/>
        <v>13 min.</v>
      </c>
      <c r="J12" s="223" t="str">
        <f t="shared" si="4"/>
        <v>13</v>
      </c>
      <c r="K12" s="224">
        <f t="shared" si="5"/>
        <v>13</v>
      </c>
      <c r="L12" s="223" t="str">
        <f t="shared" si="6"/>
        <v>8:13</v>
      </c>
      <c r="M12" s="225">
        <f t="shared" si="7"/>
        <v>0.34236111111111112</v>
      </c>
      <c r="N12" s="200" t="s">
        <v>909</v>
      </c>
      <c r="O12" s="199" t="s">
        <v>303</v>
      </c>
      <c r="P12" s="200" t="s">
        <v>344</v>
      </c>
      <c r="Q12" s="200" t="s">
        <v>276</v>
      </c>
    </row>
    <row r="13" spans="1:17" s="201" customFormat="1">
      <c r="A13" s="13">
        <v>13</v>
      </c>
      <c r="B13" s="199" t="s">
        <v>1055</v>
      </c>
      <c r="C13" s="199" t="s">
        <v>728</v>
      </c>
      <c r="D13" s="199" t="s">
        <v>1056</v>
      </c>
      <c r="E13" s="199" t="s">
        <v>1057</v>
      </c>
      <c r="F13" s="222">
        <f t="shared" si="0"/>
        <v>12</v>
      </c>
      <c r="G13" s="223" t="str">
        <f t="shared" si="1"/>
        <v>9</v>
      </c>
      <c r="H13" s="224">
        <f t="shared" si="2"/>
        <v>9</v>
      </c>
      <c r="I13" s="223" t="str">
        <f t="shared" si="3"/>
        <v>01 min.</v>
      </c>
      <c r="J13" s="223" t="str">
        <f t="shared" si="4"/>
        <v>01</v>
      </c>
      <c r="K13" s="224">
        <f t="shared" si="5"/>
        <v>1</v>
      </c>
      <c r="L13" s="223" t="str">
        <f t="shared" si="6"/>
        <v>9:1</v>
      </c>
      <c r="M13" s="225">
        <f t="shared" si="7"/>
        <v>0.3756944444444445</v>
      </c>
      <c r="N13" s="200" t="s">
        <v>909</v>
      </c>
      <c r="O13" s="199" t="s">
        <v>303</v>
      </c>
      <c r="P13" s="200" t="s">
        <v>344</v>
      </c>
      <c r="Q13" s="200" t="s">
        <v>276</v>
      </c>
    </row>
    <row r="14" spans="1:17" s="201" customFormat="1">
      <c r="A14" s="13">
        <v>14</v>
      </c>
      <c r="B14" s="199" t="s">
        <v>1066</v>
      </c>
      <c r="C14" s="199" t="s">
        <v>1067</v>
      </c>
      <c r="D14" s="199" t="s">
        <v>1068</v>
      </c>
      <c r="E14" s="199" t="s">
        <v>1069</v>
      </c>
      <c r="F14" s="222">
        <f t="shared" si="0"/>
        <v>13</v>
      </c>
      <c r="G14" s="223" t="str">
        <f t="shared" si="1"/>
        <v>13</v>
      </c>
      <c r="H14" s="224">
        <f t="shared" si="2"/>
        <v>13</v>
      </c>
      <c r="I14" s="223" t="str">
        <f t="shared" si="3"/>
        <v>12 min.</v>
      </c>
      <c r="J14" s="223" t="str">
        <f t="shared" si="4"/>
        <v>12</v>
      </c>
      <c r="K14" s="224">
        <f t="shared" si="5"/>
        <v>12</v>
      </c>
      <c r="L14" s="223" t="str">
        <f t="shared" si="6"/>
        <v>13:12</v>
      </c>
      <c r="M14" s="225">
        <f t="shared" si="7"/>
        <v>0.54999999999999993</v>
      </c>
      <c r="N14" s="200" t="s">
        <v>1070</v>
      </c>
      <c r="O14" s="199" t="s">
        <v>303</v>
      </c>
      <c r="P14" s="200" t="s">
        <v>344</v>
      </c>
      <c r="Q14" s="200" t="s">
        <v>276</v>
      </c>
    </row>
    <row r="15" spans="1:17" s="201" customFormat="1">
      <c r="A15" s="13">
        <v>15</v>
      </c>
      <c r="B15" s="199" t="s">
        <v>1071</v>
      </c>
      <c r="C15" s="199" t="s">
        <v>1072</v>
      </c>
      <c r="D15" s="199" t="s">
        <v>1073</v>
      </c>
      <c r="E15" s="199" t="s">
        <v>1074</v>
      </c>
      <c r="F15" s="222">
        <f t="shared" si="0"/>
        <v>12</v>
      </c>
      <c r="G15" s="223" t="str">
        <f t="shared" si="1"/>
        <v>9</v>
      </c>
      <c r="H15" s="224">
        <f t="shared" si="2"/>
        <v>9</v>
      </c>
      <c r="I15" s="223" t="str">
        <f t="shared" si="3"/>
        <v>27 min.</v>
      </c>
      <c r="J15" s="223" t="str">
        <f t="shared" si="4"/>
        <v>27</v>
      </c>
      <c r="K15" s="224">
        <f t="shared" si="5"/>
        <v>27</v>
      </c>
      <c r="L15" s="223" t="str">
        <f t="shared" si="6"/>
        <v>9:27</v>
      </c>
      <c r="M15" s="225">
        <f t="shared" si="7"/>
        <v>0.39374999999999999</v>
      </c>
      <c r="N15" s="200" t="s">
        <v>391</v>
      </c>
      <c r="O15" s="199" t="s">
        <v>303</v>
      </c>
      <c r="P15" s="200" t="s">
        <v>344</v>
      </c>
      <c r="Q15" s="200" t="s">
        <v>276</v>
      </c>
    </row>
    <row r="16" spans="1:17" s="201" customFormat="1">
      <c r="A16" s="13">
        <v>16</v>
      </c>
      <c r="B16" s="199" t="s">
        <v>1079</v>
      </c>
      <c r="C16" s="199" t="s">
        <v>1080</v>
      </c>
      <c r="D16" s="199" t="s">
        <v>1081</v>
      </c>
      <c r="E16" s="199" t="s">
        <v>1082</v>
      </c>
      <c r="F16" s="222">
        <f t="shared" si="0"/>
        <v>12</v>
      </c>
      <c r="G16" s="223" t="str">
        <f t="shared" si="1"/>
        <v>5</v>
      </c>
      <c r="H16" s="224">
        <f t="shared" si="2"/>
        <v>5</v>
      </c>
      <c r="I16" s="223" t="str">
        <f t="shared" si="3"/>
        <v>10 min.</v>
      </c>
      <c r="J16" s="223" t="str">
        <f t="shared" si="4"/>
        <v>10</v>
      </c>
      <c r="K16" s="224">
        <f t="shared" si="5"/>
        <v>10</v>
      </c>
      <c r="L16" s="223" t="str">
        <f t="shared" si="6"/>
        <v>5:10</v>
      </c>
      <c r="M16" s="225">
        <f t="shared" si="7"/>
        <v>0.21527777777777779</v>
      </c>
      <c r="N16" s="200" t="s">
        <v>909</v>
      </c>
      <c r="O16" s="199" t="s">
        <v>303</v>
      </c>
      <c r="P16" s="200" t="s">
        <v>344</v>
      </c>
      <c r="Q16" s="200" t="s">
        <v>276</v>
      </c>
    </row>
    <row r="17" spans="1:17" s="201" customFormat="1">
      <c r="A17" s="13">
        <v>17</v>
      </c>
      <c r="B17" s="199" t="s">
        <v>1339</v>
      </c>
      <c r="C17" s="199" t="s">
        <v>1340</v>
      </c>
      <c r="D17" s="199" t="s">
        <v>1341</v>
      </c>
      <c r="E17" s="199" t="s">
        <v>1342</v>
      </c>
      <c r="F17" s="222">
        <f t="shared" si="0"/>
        <v>12</v>
      </c>
      <c r="G17" s="223" t="str">
        <f t="shared" si="1"/>
        <v>7</v>
      </c>
      <c r="H17" s="224">
        <f t="shared" si="2"/>
        <v>7</v>
      </c>
      <c r="I17" s="223" t="str">
        <f t="shared" si="3"/>
        <v>59 min.</v>
      </c>
      <c r="J17" s="223" t="str">
        <f t="shared" si="4"/>
        <v>59</v>
      </c>
      <c r="K17" s="224">
        <f t="shared" si="5"/>
        <v>59</v>
      </c>
      <c r="L17" s="223" t="str">
        <f t="shared" si="6"/>
        <v>7:59</v>
      </c>
      <c r="M17" s="225">
        <f t="shared" si="7"/>
        <v>0.33263888888888887</v>
      </c>
      <c r="N17" s="200" t="s">
        <v>401</v>
      </c>
      <c r="O17" s="199" t="s">
        <v>274</v>
      </c>
      <c r="P17" s="200" t="s">
        <v>344</v>
      </c>
      <c r="Q17" s="200" t="s">
        <v>276</v>
      </c>
    </row>
    <row r="18" spans="1:17" s="201" customFormat="1">
      <c r="A18" s="13">
        <v>18</v>
      </c>
      <c r="B18" s="199" t="s">
        <v>1476</v>
      </c>
      <c r="C18" s="199" t="s">
        <v>1477</v>
      </c>
      <c r="D18" s="199" t="s">
        <v>1478</v>
      </c>
      <c r="E18" s="199" t="s">
        <v>1479</v>
      </c>
      <c r="F18" s="222">
        <f t="shared" si="0"/>
        <v>13</v>
      </c>
      <c r="G18" s="223" t="str">
        <f t="shared" si="1"/>
        <v>10</v>
      </c>
      <c r="H18" s="224">
        <f t="shared" si="2"/>
        <v>10</v>
      </c>
      <c r="I18" s="223" t="str">
        <f t="shared" si="3"/>
        <v>56 min.</v>
      </c>
      <c r="J18" s="223" t="str">
        <f t="shared" si="4"/>
        <v>56</v>
      </c>
      <c r="K18" s="224">
        <f t="shared" si="5"/>
        <v>56</v>
      </c>
      <c r="L18" s="223" t="str">
        <f t="shared" si="6"/>
        <v>10:56</v>
      </c>
      <c r="M18" s="225">
        <f t="shared" si="7"/>
        <v>0.45555555555555555</v>
      </c>
      <c r="N18" s="200" t="s">
        <v>342</v>
      </c>
      <c r="O18" s="199" t="s">
        <v>274</v>
      </c>
      <c r="P18" s="200" t="s">
        <v>344</v>
      </c>
      <c r="Q18" s="200" t="s">
        <v>276</v>
      </c>
    </row>
    <row r="19" spans="1:17" s="201" customFormat="1">
      <c r="A19" s="13">
        <v>19</v>
      </c>
      <c r="B19" s="199" t="s">
        <v>1493</v>
      </c>
      <c r="C19" s="199" t="s">
        <v>1494</v>
      </c>
      <c r="D19" s="199" t="s">
        <v>1495</v>
      </c>
      <c r="E19" s="199" t="s">
        <v>1074</v>
      </c>
      <c r="F19" s="222">
        <f t="shared" si="0"/>
        <v>12</v>
      </c>
      <c r="G19" s="223" t="str">
        <f t="shared" si="1"/>
        <v>9</v>
      </c>
      <c r="H19" s="224">
        <f t="shared" si="2"/>
        <v>9</v>
      </c>
      <c r="I19" s="223" t="str">
        <f t="shared" si="3"/>
        <v>27 min.</v>
      </c>
      <c r="J19" s="223" t="str">
        <f t="shared" si="4"/>
        <v>27</v>
      </c>
      <c r="K19" s="224">
        <f t="shared" si="5"/>
        <v>27</v>
      </c>
      <c r="L19" s="223" t="str">
        <f t="shared" si="6"/>
        <v>9:27</v>
      </c>
      <c r="M19" s="225">
        <f t="shared" si="7"/>
        <v>0.39374999999999999</v>
      </c>
      <c r="N19" s="200" t="s">
        <v>1496</v>
      </c>
      <c r="O19" s="199" t="s">
        <v>303</v>
      </c>
      <c r="P19" s="200" t="s">
        <v>344</v>
      </c>
      <c r="Q19" s="200" t="s">
        <v>276</v>
      </c>
    </row>
    <row r="20" spans="1:17" s="201" customFormat="1">
      <c r="A20" s="13">
        <v>20</v>
      </c>
      <c r="B20" s="199" t="s">
        <v>1538</v>
      </c>
      <c r="C20" s="199" t="s">
        <v>1539</v>
      </c>
      <c r="D20" s="199" t="s">
        <v>1540</v>
      </c>
      <c r="E20" s="199" t="s">
        <v>2577</v>
      </c>
      <c r="F20" s="222">
        <f t="shared" si="0"/>
        <v>12</v>
      </c>
      <c r="G20" s="223" t="str">
        <f t="shared" si="1"/>
        <v>7</v>
      </c>
      <c r="H20" s="224">
        <f t="shared" si="2"/>
        <v>7</v>
      </c>
      <c r="I20" s="223" t="str">
        <f t="shared" si="3"/>
        <v>00 min.</v>
      </c>
      <c r="J20" s="223" t="str">
        <f t="shared" si="4"/>
        <v>00</v>
      </c>
      <c r="K20" s="224">
        <f t="shared" si="5"/>
        <v>0</v>
      </c>
      <c r="L20" s="223" t="str">
        <f t="shared" si="6"/>
        <v>7:0</v>
      </c>
      <c r="M20" s="225">
        <f t="shared" si="7"/>
        <v>0.29166666666666669</v>
      </c>
      <c r="N20" s="200" t="s">
        <v>1541</v>
      </c>
      <c r="O20" s="199" t="s">
        <v>303</v>
      </c>
      <c r="P20" s="200" t="s">
        <v>344</v>
      </c>
      <c r="Q20" s="200" t="s">
        <v>276</v>
      </c>
    </row>
    <row r="21" spans="1:17" s="201" customFormat="1">
      <c r="A21" s="13">
        <v>21</v>
      </c>
      <c r="B21" s="199" t="s">
        <v>1542</v>
      </c>
      <c r="C21" s="199" t="s">
        <v>1543</v>
      </c>
      <c r="D21" s="199" t="s">
        <v>1544</v>
      </c>
      <c r="E21" s="199" t="s">
        <v>1545</v>
      </c>
      <c r="F21" s="222">
        <f t="shared" si="0"/>
        <v>12</v>
      </c>
      <c r="G21" s="223" t="str">
        <f t="shared" si="1"/>
        <v>2</v>
      </c>
      <c r="H21" s="224">
        <f t="shared" si="2"/>
        <v>2</v>
      </c>
      <c r="I21" s="223" t="str">
        <f t="shared" si="3"/>
        <v>08 min.</v>
      </c>
      <c r="J21" s="223" t="str">
        <f t="shared" si="4"/>
        <v>08</v>
      </c>
      <c r="K21" s="224">
        <f t="shared" si="5"/>
        <v>8</v>
      </c>
      <c r="L21" s="223" t="str">
        <f t="shared" si="6"/>
        <v>2:8</v>
      </c>
      <c r="M21" s="225">
        <f t="shared" si="7"/>
        <v>8.8888888888888892E-2</v>
      </c>
      <c r="N21" s="200" t="s">
        <v>1546</v>
      </c>
      <c r="O21" s="199" t="s">
        <v>310</v>
      </c>
      <c r="P21" s="200" t="s">
        <v>344</v>
      </c>
      <c r="Q21" s="200" t="s">
        <v>276</v>
      </c>
    </row>
    <row r="22" spans="1:17" s="201" customFormat="1">
      <c r="A22" s="13">
        <v>22</v>
      </c>
      <c r="B22" s="199" t="s">
        <v>1569</v>
      </c>
      <c r="C22" s="199" t="s">
        <v>1570</v>
      </c>
      <c r="D22" s="199" t="s">
        <v>1571</v>
      </c>
      <c r="E22" s="199" t="s">
        <v>1572</v>
      </c>
      <c r="F22" s="222">
        <f t="shared" si="0"/>
        <v>12</v>
      </c>
      <c r="G22" s="223" t="str">
        <f t="shared" si="1"/>
        <v>3</v>
      </c>
      <c r="H22" s="224">
        <f t="shared" si="2"/>
        <v>3</v>
      </c>
      <c r="I22" s="223" t="str">
        <f t="shared" si="3"/>
        <v>53 min.</v>
      </c>
      <c r="J22" s="223" t="str">
        <f t="shared" si="4"/>
        <v>53</v>
      </c>
      <c r="K22" s="224">
        <f t="shared" si="5"/>
        <v>53</v>
      </c>
      <c r="L22" s="223" t="str">
        <f t="shared" si="6"/>
        <v>3:53</v>
      </c>
      <c r="M22" s="225">
        <f t="shared" si="7"/>
        <v>0.16180555555555556</v>
      </c>
      <c r="N22" s="200" t="s">
        <v>401</v>
      </c>
      <c r="O22" s="199" t="s">
        <v>321</v>
      </c>
      <c r="P22" s="200" t="s">
        <v>344</v>
      </c>
      <c r="Q22" s="200" t="s">
        <v>276</v>
      </c>
    </row>
    <row r="23" spans="1:17" s="201" customFormat="1">
      <c r="A23" s="13">
        <v>23</v>
      </c>
      <c r="B23" s="199" t="s">
        <v>1617</v>
      </c>
      <c r="C23" s="199" t="s">
        <v>1618</v>
      </c>
      <c r="D23" s="199" t="s">
        <v>1619</v>
      </c>
      <c r="E23" s="199" t="s">
        <v>1620</v>
      </c>
      <c r="F23" s="222">
        <f t="shared" si="0"/>
        <v>12</v>
      </c>
      <c r="G23" s="223" t="str">
        <f t="shared" si="1"/>
        <v>4</v>
      </c>
      <c r="H23" s="224">
        <f t="shared" si="2"/>
        <v>4</v>
      </c>
      <c r="I23" s="223" t="str">
        <f t="shared" si="3"/>
        <v>54 min.</v>
      </c>
      <c r="J23" s="223" t="str">
        <f t="shared" si="4"/>
        <v>54</v>
      </c>
      <c r="K23" s="224">
        <f t="shared" si="5"/>
        <v>54</v>
      </c>
      <c r="L23" s="223" t="str">
        <f t="shared" si="6"/>
        <v>4:54</v>
      </c>
      <c r="M23" s="225">
        <f t="shared" si="7"/>
        <v>0.20416666666666669</v>
      </c>
      <c r="N23" s="200" t="s">
        <v>909</v>
      </c>
      <c r="O23" s="199" t="s">
        <v>310</v>
      </c>
      <c r="P23" s="200" t="s">
        <v>344</v>
      </c>
      <c r="Q23" s="200" t="s">
        <v>276</v>
      </c>
    </row>
    <row r="24" spans="1:17" s="201" customFormat="1">
      <c r="A24" s="13">
        <v>24</v>
      </c>
      <c r="B24" s="199" t="s">
        <v>1676</v>
      </c>
      <c r="C24" s="199" t="s">
        <v>1677</v>
      </c>
      <c r="D24" s="199" t="s">
        <v>1678</v>
      </c>
      <c r="E24" s="199" t="s">
        <v>1576</v>
      </c>
      <c r="F24" s="222">
        <f t="shared" si="0"/>
        <v>13</v>
      </c>
      <c r="G24" s="223" t="str">
        <f t="shared" si="1"/>
        <v>11</v>
      </c>
      <c r="H24" s="224">
        <f t="shared" si="2"/>
        <v>11</v>
      </c>
      <c r="I24" s="223" t="str">
        <f t="shared" si="3"/>
        <v>06 min.</v>
      </c>
      <c r="J24" s="223" t="str">
        <f t="shared" si="4"/>
        <v>06</v>
      </c>
      <c r="K24" s="224">
        <f t="shared" si="5"/>
        <v>6</v>
      </c>
      <c r="L24" s="223" t="str">
        <f t="shared" si="6"/>
        <v>11:6</v>
      </c>
      <c r="M24" s="225">
        <f t="shared" si="7"/>
        <v>0.46249999999999997</v>
      </c>
      <c r="N24" s="200" t="s">
        <v>1546</v>
      </c>
      <c r="O24" s="199" t="s">
        <v>693</v>
      </c>
      <c r="P24" s="200" t="s">
        <v>344</v>
      </c>
      <c r="Q24" s="200" t="s">
        <v>276</v>
      </c>
    </row>
    <row r="25" spans="1:17" s="201" customFormat="1">
      <c r="A25" s="13">
        <v>25</v>
      </c>
      <c r="B25" s="199" t="s">
        <v>1679</v>
      </c>
      <c r="C25" s="199" t="s">
        <v>1680</v>
      </c>
      <c r="D25" s="199" t="s">
        <v>1681</v>
      </c>
      <c r="E25" s="199" t="s">
        <v>427</v>
      </c>
      <c r="F25" s="222">
        <f t="shared" si="0"/>
        <v>12</v>
      </c>
      <c r="G25" s="223" t="str">
        <f t="shared" si="1"/>
        <v>5</v>
      </c>
      <c r="H25" s="224">
        <f t="shared" si="2"/>
        <v>5</v>
      </c>
      <c r="I25" s="223" t="str">
        <f t="shared" si="3"/>
        <v>48 min.</v>
      </c>
      <c r="J25" s="223" t="str">
        <f t="shared" si="4"/>
        <v>48</v>
      </c>
      <c r="K25" s="224">
        <f t="shared" si="5"/>
        <v>48</v>
      </c>
      <c r="L25" s="223" t="str">
        <f t="shared" si="6"/>
        <v>5:48</v>
      </c>
      <c r="M25" s="225">
        <f t="shared" si="7"/>
        <v>0.24166666666666667</v>
      </c>
      <c r="N25" s="200" t="s">
        <v>909</v>
      </c>
      <c r="O25" s="199" t="s">
        <v>536</v>
      </c>
      <c r="P25" s="200" t="s">
        <v>344</v>
      </c>
      <c r="Q25" s="200" t="s">
        <v>276</v>
      </c>
    </row>
    <row r="26" spans="1:17" s="201" customFormat="1">
      <c r="A26" s="13">
        <v>26</v>
      </c>
      <c r="B26" s="199" t="s">
        <v>1682</v>
      </c>
      <c r="C26" s="199" t="s">
        <v>1683</v>
      </c>
      <c r="D26" s="199" t="s">
        <v>1684</v>
      </c>
      <c r="E26" s="199" t="s">
        <v>1685</v>
      </c>
      <c r="F26" s="222">
        <f t="shared" si="0"/>
        <v>12</v>
      </c>
      <c r="G26" s="223" t="str">
        <f t="shared" si="1"/>
        <v>3</v>
      </c>
      <c r="H26" s="224">
        <f t="shared" si="2"/>
        <v>3</v>
      </c>
      <c r="I26" s="223" t="str">
        <f t="shared" si="3"/>
        <v>37 min.</v>
      </c>
      <c r="J26" s="223" t="str">
        <f t="shared" si="4"/>
        <v>37</v>
      </c>
      <c r="K26" s="224">
        <f t="shared" si="5"/>
        <v>37</v>
      </c>
      <c r="L26" s="223" t="str">
        <f t="shared" si="6"/>
        <v>3:37</v>
      </c>
      <c r="M26" s="225">
        <f t="shared" si="7"/>
        <v>0.15069444444444444</v>
      </c>
      <c r="N26" s="200" t="s">
        <v>909</v>
      </c>
      <c r="O26" s="199" t="s">
        <v>536</v>
      </c>
      <c r="P26" s="200" t="s">
        <v>344</v>
      </c>
      <c r="Q26" s="200" t="s">
        <v>276</v>
      </c>
    </row>
    <row r="27" spans="1:17" s="201" customFormat="1">
      <c r="A27" s="13">
        <v>27</v>
      </c>
      <c r="B27" s="199" t="s">
        <v>1690</v>
      </c>
      <c r="C27" s="199" t="s">
        <v>1691</v>
      </c>
      <c r="D27" s="199" t="s">
        <v>1692</v>
      </c>
      <c r="E27" s="199" t="s">
        <v>1693</v>
      </c>
      <c r="F27" s="222">
        <f t="shared" si="0"/>
        <v>12</v>
      </c>
      <c r="G27" s="223" t="str">
        <f t="shared" si="1"/>
        <v>3</v>
      </c>
      <c r="H27" s="224">
        <f t="shared" si="2"/>
        <v>3</v>
      </c>
      <c r="I27" s="223" t="str">
        <f t="shared" si="3"/>
        <v>15 min.</v>
      </c>
      <c r="J27" s="223" t="str">
        <f t="shared" si="4"/>
        <v>15</v>
      </c>
      <c r="K27" s="224">
        <f t="shared" si="5"/>
        <v>15</v>
      </c>
      <c r="L27" s="223" t="str">
        <f t="shared" si="6"/>
        <v>3:15</v>
      </c>
      <c r="M27" s="225">
        <f t="shared" si="7"/>
        <v>0.13541666666666666</v>
      </c>
      <c r="N27" s="200" t="s">
        <v>909</v>
      </c>
      <c r="O27" s="199" t="s">
        <v>303</v>
      </c>
      <c r="P27" s="200" t="s">
        <v>344</v>
      </c>
      <c r="Q27" s="200" t="s">
        <v>276</v>
      </c>
    </row>
    <row r="28" spans="1:17" s="201" customFormat="1">
      <c r="A28" s="13">
        <v>28</v>
      </c>
      <c r="B28" s="199" t="s">
        <v>1733</v>
      </c>
      <c r="C28" s="199" t="s">
        <v>1734</v>
      </c>
      <c r="D28" s="199" t="s">
        <v>1735</v>
      </c>
      <c r="E28" s="199" t="s">
        <v>2578</v>
      </c>
      <c r="F28" s="222">
        <f t="shared" si="0"/>
        <v>12</v>
      </c>
      <c r="G28" s="223" t="str">
        <f t="shared" si="1"/>
        <v>6</v>
      </c>
      <c r="H28" s="224">
        <f t="shared" si="2"/>
        <v>6</v>
      </c>
      <c r="I28" s="223" t="str">
        <f t="shared" si="3"/>
        <v>00 min.</v>
      </c>
      <c r="J28" s="223" t="str">
        <f t="shared" si="4"/>
        <v>00</v>
      </c>
      <c r="K28" s="224">
        <f t="shared" si="5"/>
        <v>0</v>
      </c>
      <c r="L28" s="223" t="str">
        <f t="shared" si="6"/>
        <v>6:0</v>
      </c>
      <c r="M28" s="225">
        <f t="shared" si="7"/>
        <v>0.25</v>
      </c>
      <c r="N28" s="200" t="s">
        <v>1070</v>
      </c>
      <c r="O28" s="199" t="s">
        <v>321</v>
      </c>
      <c r="P28" s="200" t="s">
        <v>344</v>
      </c>
      <c r="Q28" s="200" t="s">
        <v>276</v>
      </c>
    </row>
    <row r="29" spans="1:17" s="201" customFormat="1">
      <c r="A29" s="13">
        <v>29</v>
      </c>
      <c r="B29" s="199" t="s">
        <v>1980</v>
      </c>
      <c r="C29" s="199" t="s">
        <v>1981</v>
      </c>
      <c r="D29" s="199" t="s">
        <v>1982</v>
      </c>
      <c r="E29" s="199" t="s">
        <v>1983</v>
      </c>
      <c r="F29" s="222">
        <f t="shared" si="0"/>
        <v>12</v>
      </c>
      <c r="G29" s="223" t="str">
        <f t="shared" si="1"/>
        <v>4</v>
      </c>
      <c r="H29" s="224">
        <f t="shared" si="2"/>
        <v>4</v>
      </c>
      <c r="I29" s="223" t="str">
        <f t="shared" si="3"/>
        <v>07 min.</v>
      </c>
      <c r="J29" s="223" t="str">
        <f t="shared" si="4"/>
        <v>07</v>
      </c>
      <c r="K29" s="224">
        <f t="shared" si="5"/>
        <v>7</v>
      </c>
      <c r="L29" s="223" t="str">
        <f t="shared" si="6"/>
        <v>4:7</v>
      </c>
      <c r="M29" s="225">
        <f t="shared" si="7"/>
        <v>0.17152777777777775</v>
      </c>
      <c r="N29" s="200" t="s">
        <v>401</v>
      </c>
      <c r="O29" s="199" t="s">
        <v>292</v>
      </c>
      <c r="P29" s="200" t="s">
        <v>344</v>
      </c>
      <c r="Q29" s="200" t="s">
        <v>276</v>
      </c>
    </row>
    <row r="30" spans="1:17" s="201" customFormat="1">
      <c r="A30" s="13">
        <v>30</v>
      </c>
      <c r="B30" s="199" t="s">
        <v>1984</v>
      </c>
      <c r="C30" s="199" t="s">
        <v>1985</v>
      </c>
      <c r="D30" s="199" t="s">
        <v>1986</v>
      </c>
      <c r="E30" s="199" t="s">
        <v>1987</v>
      </c>
      <c r="F30" s="222">
        <f t="shared" si="0"/>
        <v>12</v>
      </c>
      <c r="G30" s="223" t="str">
        <f t="shared" si="1"/>
        <v>6</v>
      </c>
      <c r="H30" s="224">
        <f t="shared" si="2"/>
        <v>6</v>
      </c>
      <c r="I30" s="223" t="str">
        <f t="shared" si="3"/>
        <v>16 min.</v>
      </c>
      <c r="J30" s="223" t="str">
        <f t="shared" si="4"/>
        <v>16</v>
      </c>
      <c r="K30" s="224">
        <f t="shared" si="5"/>
        <v>16</v>
      </c>
      <c r="L30" s="223" t="str">
        <f t="shared" si="6"/>
        <v>6:16</v>
      </c>
      <c r="M30" s="225">
        <f t="shared" si="7"/>
        <v>0.26111111111111113</v>
      </c>
      <c r="N30" s="200" t="s">
        <v>401</v>
      </c>
      <c r="O30" s="199" t="s">
        <v>303</v>
      </c>
      <c r="P30" s="200" t="s">
        <v>344</v>
      </c>
      <c r="Q30" s="200" t="s">
        <v>276</v>
      </c>
    </row>
    <row r="31" spans="1:17" s="201" customFormat="1">
      <c r="A31" s="13">
        <v>31</v>
      </c>
      <c r="B31" s="199" t="s">
        <v>1992</v>
      </c>
      <c r="C31" s="199" t="s">
        <v>982</v>
      </c>
      <c r="D31" s="199" t="s">
        <v>1993</v>
      </c>
      <c r="E31" s="199" t="s">
        <v>1994</v>
      </c>
      <c r="F31" s="222">
        <f t="shared" si="0"/>
        <v>12</v>
      </c>
      <c r="G31" s="223" t="str">
        <f t="shared" si="1"/>
        <v>6</v>
      </c>
      <c r="H31" s="224">
        <f t="shared" si="2"/>
        <v>6</v>
      </c>
      <c r="I31" s="223" t="str">
        <f t="shared" si="3"/>
        <v>09 min.</v>
      </c>
      <c r="J31" s="223" t="str">
        <f t="shared" si="4"/>
        <v>09</v>
      </c>
      <c r="K31" s="224">
        <f t="shared" si="5"/>
        <v>9</v>
      </c>
      <c r="L31" s="223" t="str">
        <f t="shared" si="6"/>
        <v>6:9</v>
      </c>
      <c r="M31" s="225">
        <f t="shared" si="7"/>
        <v>0.25625000000000003</v>
      </c>
      <c r="N31" s="200" t="s">
        <v>950</v>
      </c>
      <c r="O31" s="199" t="s">
        <v>350</v>
      </c>
      <c r="P31" s="200" t="s">
        <v>344</v>
      </c>
      <c r="Q31" s="200" t="s">
        <v>276</v>
      </c>
    </row>
    <row r="32" spans="1:17" s="201" customFormat="1">
      <c r="A32" s="13">
        <v>32</v>
      </c>
      <c r="B32" s="199" t="s">
        <v>2009</v>
      </c>
      <c r="C32" s="199" t="s">
        <v>2010</v>
      </c>
      <c r="D32" s="199" t="s">
        <v>2011</v>
      </c>
      <c r="E32" s="199" t="s">
        <v>2012</v>
      </c>
      <c r="F32" s="222">
        <f t="shared" si="0"/>
        <v>13</v>
      </c>
      <c r="G32" s="223" t="str">
        <f t="shared" si="1"/>
        <v>10</v>
      </c>
      <c r="H32" s="224">
        <f t="shared" si="2"/>
        <v>10</v>
      </c>
      <c r="I32" s="223" t="str">
        <f t="shared" si="3"/>
        <v>49 min.</v>
      </c>
      <c r="J32" s="223" t="str">
        <f t="shared" si="4"/>
        <v>49</v>
      </c>
      <c r="K32" s="224">
        <f t="shared" si="5"/>
        <v>49</v>
      </c>
      <c r="L32" s="223" t="str">
        <f t="shared" si="6"/>
        <v>10:49</v>
      </c>
      <c r="M32" s="225">
        <f t="shared" si="7"/>
        <v>0.45069444444444445</v>
      </c>
      <c r="N32" s="200" t="s">
        <v>2013</v>
      </c>
      <c r="O32" s="199" t="s">
        <v>274</v>
      </c>
      <c r="P32" s="200" t="s">
        <v>344</v>
      </c>
      <c r="Q32" s="200" t="s">
        <v>276</v>
      </c>
    </row>
    <row r="33" spans="1:17" s="201" customFormat="1">
      <c r="A33" s="13">
        <v>33</v>
      </c>
      <c r="B33" s="199" t="s">
        <v>2014</v>
      </c>
      <c r="C33" s="199" t="s">
        <v>2015</v>
      </c>
      <c r="D33" s="199" t="s">
        <v>2016</v>
      </c>
      <c r="E33" s="199" t="s">
        <v>1718</v>
      </c>
      <c r="F33" s="222">
        <f t="shared" si="0"/>
        <v>12</v>
      </c>
      <c r="G33" s="223" t="str">
        <f t="shared" si="1"/>
        <v>7</v>
      </c>
      <c r="H33" s="224">
        <f t="shared" si="2"/>
        <v>7</v>
      </c>
      <c r="I33" s="223" t="str">
        <f t="shared" si="3"/>
        <v>56 min.</v>
      </c>
      <c r="J33" s="223" t="str">
        <f t="shared" si="4"/>
        <v>56</v>
      </c>
      <c r="K33" s="224">
        <f t="shared" si="5"/>
        <v>56</v>
      </c>
      <c r="L33" s="223" t="str">
        <f t="shared" si="6"/>
        <v>7:56</v>
      </c>
      <c r="M33" s="225">
        <f t="shared" si="7"/>
        <v>0.33055555555555555</v>
      </c>
      <c r="N33" s="200" t="s">
        <v>342</v>
      </c>
      <c r="O33" s="199" t="s">
        <v>303</v>
      </c>
      <c r="P33" s="200" t="s">
        <v>344</v>
      </c>
      <c r="Q33" s="200" t="s">
        <v>276</v>
      </c>
    </row>
    <row r="34" spans="1:17" s="201" customFormat="1">
      <c r="A34" s="13">
        <v>34</v>
      </c>
      <c r="B34" s="199" t="s">
        <v>2042</v>
      </c>
      <c r="C34" s="199" t="s">
        <v>2043</v>
      </c>
      <c r="D34" s="199" t="s">
        <v>2044</v>
      </c>
      <c r="E34" s="199" t="s">
        <v>2045</v>
      </c>
      <c r="F34" s="222">
        <f t="shared" si="0"/>
        <v>12</v>
      </c>
      <c r="G34" s="223" t="str">
        <f t="shared" si="1"/>
        <v>4</v>
      </c>
      <c r="H34" s="224">
        <f t="shared" si="2"/>
        <v>4</v>
      </c>
      <c r="I34" s="223" t="str">
        <f t="shared" si="3"/>
        <v>33 min.</v>
      </c>
      <c r="J34" s="223" t="str">
        <f t="shared" si="4"/>
        <v>33</v>
      </c>
      <c r="K34" s="224">
        <f t="shared" si="5"/>
        <v>33</v>
      </c>
      <c r="L34" s="223" t="str">
        <f t="shared" si="6"/>
        <v>4:33</v>
      </c>
      <c r="M34" s="225">
        <f t="shared" si="7"/>
        <v>0.18958333333333333</v>
      </c>
      <c r="N34" s="200" t="s">
        <v>909</v>
      </c>
      <c r="O34" s="199" t="s">
        <v>303</v>
      </c>
      <c r="P34" s="200" t="s">
        <v>344</v>
      </c>
      <c r="Q34" s="200" t="s">
        <v>276</v>
      </c>
    </row>
    <row r="35" spans="1:17" s="201" customFormat="1">
      <c r="A35" s="13">
        <v>35</v>
      </c>
      <c r="B35" s="199" t="s">
        <v>2052</v>
      </c>
      <c r="C35" s="199" t="s">
        <v>1464</v>
      </c>
      <c r="D35" s="199" t="s">
        <v>2053</v>
      </c>
      <c r="E35" s="199" t="s">
        <v>888</v>
      </c>
      <c r="F35" s="222">
        <f t="shared" si="0"/>
        <v>12</v>
      </c>
      <c r="G35" s="223" t="str">
        <f t="shared" si="1"/>
        <v>3</v>
      </c>
      <c r="H35" s="224">
        <f t="shared" si="2"/>
        <v>3</v>
      </c>
      <c r="I35" s="223" t="str">
        <f t="shared" si="3"/>
        <v>40 min.</v>
      </c>
      <c r="J35" s="223" t="str">
        <f t="shared" si="4"/>
        <v>40</v>
      </c>
      <c r="K35" s="224">
        <f t="shared" si="5"/>
        <v>40</v>
      </c>
      <c r="L35" s="223" t="str">
        <f t="shared" si="6"/>
        <v>3:40</v>
      </c>
      <c r="M35" s="225">
        <f t="shared" si="7"/>
        <v>0.15277777777777776</v>
      </c>
      <c r="N35" s="200" t="s">
        <v>909</v>
      </c>
      <c r="O35" s="199" t="s">
        <v>536</v>
      </c>
      <c r="P35" s="200" t="s">
        <v>344</v>
      </c>
      <c r="Q35" s="200" t="s">
        <v>276</v>
      </c>
    </row>
    <row r="36" spans="1:17" s="201" customFormat="1">
      <c r="A36" s="13">
        <v>36</v>
      </c>
      <c r="B36" s="199" t="s">
        <v>2054</v>
      </c>
      <c r="C36" s="199" t="s">
        <v>2055</v>
      </c>
      <c r="D36" s="199" t="s">
        <v>2056</v>
      </c>
      <c r="E36" s="199" t="s">
        <v>879</v>
      </c>
      <c r="F36" s="222">
        <f t="shared" si="0"/>
        <v>12</v>
      </c>
      <c r="G36" s="223" t="str">
        <f t="shared" si="1"/>
        <v>4</v>
      </c>
      <c r="H36" s="224">
        <f t="shared" si="2"/>
        <v>4</v>
      </c>
      <c r="I36" s="223" t="str">
        <f t="shared" si="3"/>
        <v>55 min.</v>
      </c>
      <c r="J36" s="223" t="str">
        <f t="shared" si="4"/>
        <v>55</v>
      </c>
      <c r="K36" s="224">
        <f t="shared" si="5"/>
        <v>55</v>
      </c>
      <c r="L36" s="223" t="str">
        <f t="shared" si="6"/>
        <v>4:55</v>
      </c>
      <c r="M36" s="225">
        <f t="shared" si="7"/>
        <v>0.20486111111111113</v>
      </c>
      <c r="N36" s="200" t="s">
        <v>950</v>
      </c>
      <c r="O36" s="199" t="s">
        <v>303</v>
      </c>
      <c r="P36" s="200" t="s">
        <v>344</v>
      </c>
      <c r="Q36" s="200" t="s">
        <v>276</v>
      </c>
    </row>
    <row r="37" spans="1:17" s="201" customFormat="1">
      <c r="A37" s="13">
        <v>37</v>
      </c>
      <c r="B37" s="199" t="s">
        <v>2138</v>
      </c>
      <c r="C37" s="199" t="s">
        <v>2139</v>
      </c>
      <c r="D37" s="199" t="s">
        <v>2140</v>
      </c>
      <c r="E37" s="199" t="s">
        <v>1127</v>
      </c>
      <c r="F37" s="222">
        <f t="shared" si="0"/>
        <v>12</v>
      </c>
      <c r="G37" s="223" t="str">
        <f t="shared" si="1"/>
        <v>5</v>
      </c>
      <c r="H37" s="224">
        <f t="shared" si="2"/>
        <v>5</v>
      </c>
      <c r="I37" s="223" t="str">
        <f t="shared" si="3"/>
        <v>55 min.</v>
      </c>
      <c r="J37" s="223" t="str">
        <f t="shared" si="4"/>
        <v>55</v>
      </c>
      <c r="K37" s="224">
        <f t="shared" si="5"/>
        <v>55</v>
      </c>
      <c r="L37" s="223" t="str">
        <f t="shared" si="6"/>
        <v>5:55</v>
      </c>
      <c r="M37" s="225">
        <f t="shared" si="7"/>
        <v>0.24652777777777779</v>
      </c>
      <c r="N37" s="200" t="s">
        <v>495</v>
      </c>
      <c r="O37" s="199" t="s">
        <v>274</v>
      </c>
      <c r="P37" s="200" t="s">
        <v>344</v>
      </c>
      <c r="Q37" s="200" t="s">
        <v>276</v>
      </c>
    </row>
    <row r="38" spans="1:17" s="201" customFormat="1">
      <c r="A38" s="13">
        <v>38</v>
      </c>
      <c r="B38" s="199" t="s">
        <v>2165</v>
      </c>
      <c r="C38" s="199" t="s">
        <v>2166</v>
      </c>
      <c r="D38" s="199" t="s">
        <v>2167</v>
      </c>
      <c r="E38" s="199" t="s">
        <v>2168</v>
      </c>
      <c r="F38" s="222">
        <f t="shared" si="0"/>
        <v>12</v>
      </c>
      <c r="G38" s="223" t="str">
        <f t="shared" si="1"/>
        <v>4</v>
      </c>
      <c r="H38" s="224">
        <f t="shared" si="2"/>
        <v>4</v>
      </c>
      <c r="I38" s="223" t="str">
        <f t="shared" si="3"/>
        <v>20 min.</v>
      </c>
      <c r="J38" s="223" t="str">
        <f t="shared" si="4"/>
        <v>20</v>
      </c>
      <c r="K38" s="224">
        <f t="shared" si="5"/>
        <v>20</v>
      </c>
      <c r="L38" s="223" t="str">
        <f t="shared" si="6"/>
        <v>4:20</v>
      </c>
      <c r="M38" s="225">
        <f t="shared" si="7"/>
        <v>0.18055555555555555</v>
      </c>
      <c r="N38" s="200" t="s">
        <v>1546</v>
      </c>
      <c r="O38" s="199" t="s">
        <v>303</v>
      </c>
      <c r="P38" s="200" t="s">
        <v>344</v>
      </c>
      <c r="Q38" s="200" t="s">
        <v>276</v>
      </c>
    </row>
    <row r="39" spans="1:17" s="201" customFormat="1">
      <c r="A39" s="13">
        <v>39</v>
      </c>
      <c r="B39" s="199" t="s">
        <v>2263</v>
      </c>
      <c r="C39" s="199" t="s">
        <v>2264</v>
      </c>
      <c r="D39" s="199" t="s">
        <v>2265</v>
      </c>
      <c r="E39" s="199" t="s">
        <v>2266</v>
      </c>
      <c r="F39" s="222">
        <f t="shared" si="0"/>
        <v>12</v>
      </c>
      <c r="G39" s="223" t="str">
        <f t="shared" si="1"/>
        <v>2</v>
      </c>
      <c r="H39" s="224">
        <f t="shared" si="2"/>
        <v>2</v>
      </c>
      <c r="I39" s="223" t="str">
        <f t="shared" si="3"/>
        <v>10 min.</v>
      </c>
      <c r="J39" s="223" t="str">
        <f t="shared" si="4"/>
        <v>10</v>
      </c>
      <c r="K39" s="224">
        <f t="shared" si="5"/>
        <v>10</v>
      </c>
      <c r="L39" s="223" t="str">
        <f t="shared" si="6"/>
        <v>2:10</v>
      </c>
      <c r="M39" s="225">
        <f t="shared" si="7"/>
        <v>9.0277777777777776E-2</v>
      </c>
      <c r="N39" s="200" t="s">
        <v>1581</v>
      </c>
      <c r="O39" s="199" t="s">
        <v>321</v>
      </c>
      <c r="P39" s="200" t="s">
        <v>344</v>
      </c>
      <c r="Q39" s="200" t="s">
        <v>276</v>
      </c>
    </row>
    <row r="40" spans="1:17" s="201" customFormat="1">
      <c r="A40" s="13">
        <v>40</v>
      </c>
      <c r="B40" s="199" t="s">
        <v>2548</v>
      </c>
      <c r="C40" s="199" t="s">
        <v>2549</v>
      </c>
      <c r="D40" s="199" t="s">
        <v>2550</v>
      </c>
      <c r="E40" s="199" t="s">
        <v>2551</v>
      </c>
      <c r="F40" s="222">
        <f t="shared" si="0"/>
        <v>12</v>
      </c>
      <c r="G40" s="223" t="str">
        <f t="shared" si="1"/>
        <v>2</v>
      </c>
      <c r="H40" s="224">
        <f t="shared" si="2"/>
        <v>2</v>
      </c>
      <c r="I40" s="223" t="str">
        <f t="shared" si="3"/>
        <v>45 min.</v>
      </c>
      <c r="J40" s="223" t="str">
        <f t="shared" si="4"/>
        <v>45</v>
      </c>
      <c r="K40" s="224">
        <f t="shared" si="5"/>
        <v>45</v>
      </c>
      <c r="L40" s="223" t="str">
        <f t="shared" si="6"/>
        <v>2:45</v>
      </c>
      <c r="M40" s="225">
        <f t="shared" si="7"/>
        <v>0.11458333333333333</v>
      </c>
      <c r="N40" s="200" t="s">
        <v>495</v>
      </c>
      <c r="O40" s="199" t="s">
        <v>292</v>
      </c>
      <c r="P40" s="200" t="s">
        <v>344</v>
      </c>
      <c r="Q40" s="200" t="s">
        <v>276</v>
      </c>
    </row>
    <row r="41" spans="1:17" s="201" customFormat="1">
      <c r="A41" s="13">
        <v>41</v>
      </c>
      <c r="B41" s="199" t="s">
        <v>2556</v>
      </c>
      <c r="C41" s="199" t="s">
        <v>2557</v>
      </c>
      <c r="D41" s="199" t="s">
        <v>2558</v>
      </c>
      <c r="E41" s="199" t="s">
        <v>520</v>
      </c>
      <c r="F41" s="222">
        <f t="shared" si="0"/>
        <v>12</v>
      </c>
      <c r="G41" s="223" t="str">
        <f t="shared" si="1"/>
        <v>7</v>
      </c>
      <c r="H41" s="224">
        <f t="shared" si="2"/>
        <v>7</v>
      </c>
      <c r="I41" s="223" t="str">
        <f t="shared" si="3"/>
        <v>11 min.</v>
      </c>
      <c r="J41" s="223" t="str">
        <f t="shared" si="4"/>
        <v>11</v>
      </c>
      <c r="K41" s="224">
        <f t="shared" si="5"/>
        <v>11</v>
      </c>
      <c r="L41" s="223" t="str">
        <f t="shared" si="6"/>
        <v>7:11</v>
      </c>
      <c r="M41" s="225">
        <f t="shared" si="7"/>
        <v>0.29930555555555555</v>
      </c>
      <c r="N41" s="200" t="s">
        <v>495</v>
      </c>
      <c r="O41" s="199" t="s">
        <v>310</v>
      </c>
      <c r="P41" s="200" t="s">
        <v>344</v>
      </c>
      <c r="Q41" s="200" t="s">
        <v>276</v>
      </c>
    </row>
    <row r="42" spans="1:17" s="13" customFormat="1">
      <c r="A42" s="13">
        <v>42</v>
      </c>
      <c r="B42" s="226">
        <f>COUNTA(B2:B41)</f>
        <v>40</v>
      </c>
      <c r="C42" s="165"/>
      <c r="D42" s="165"/>
      <c r="E42" s="165"/>
      <c r="F42" s="222"/>
      <c r="G42" s="223"/>
      <c r="H42" s="224"/>
      <c r="I42" s="223"/>
      <c r="J42" s="223"/>
      <c r="K42" s="224"/>
      <c r="L42" s="223"/>
      <c r="M42" s="229">
        <f>SUM(M2:M41)</f>
        <v>11.314583333333333</v>
      </c>
      <c r="N42" s="167"/>
      <c r="O42" s="165"/>
      <c r="P42" s="167"/>
      <c r="Q42" s="167"/>
    </row>
    <row r="43" spans="1:17" s="13" customFormat="1">
      <c r="A43" s="13">
        <v>43</v>
      </c>
      <c r="B43" s="227" t="s">
        <v>2605</v>
      </c>
      <c r="C43" s="165"/>
      <c r="D43" s="165"/>
      <c r="E43" s="165"/>
      <c r="F43" s="222"/>
      <c r="G43" s="223"/>
      <c r="H43" s="224"/>
      <c r="I43" s="223"/>
      <c r="J43" s="223"/>
      <c r="K43" s="224"/>
      <c r="L43" s="223"/>
      <c r="M43" s="228">
        <v>11.314583333333333</v>
      </c>
      <c r="N43" s="171" t="s">
        <v>173</v>
      </c>
      <c r="O43" s="165"/>
      <c r="P43" s="167"/>
      <c r="Q43" s="167"/>
    </row>
    <row r="44" spans="1:17" s="13" customFormat="1">
      <c r="A44" s="13">
        <v>44</v>
      </c>
      <c r="B44" s="227" t="s">
        <v>2605</v>
      </c>
      <c r="C44" s="230" t="s">
        <v>2606</v>
      </c>
      <c r="D44" s="165"/>
      <c r="E44" s="165"/>
      <c r="F44" s="222"/>
      <c r="G44" s="223"/>
      <c r="H44" s="224"/>
      <c r="I44" s="223"/>
      <c r="J44" s="223"/>
      <c r="K44" s="224"/>
      <c r="L44" s="223"/>
      <c r="M44" s="228">
        <v>11.314583333333333</v>
      </c>
      <c r="N44" s="230" t="s">
        <v>2606</v>
      </c>
      <c r="O44" s="165"/>
      <c r="P44" s="167"/>
      <c r="Q44" s="167"/>
    </row>
    <row r="45" spans="1:17" s="13" customFormat="1">
      <c r="A45" s="13">
        <v>45</v>
      </c>
      <c r="B45" s="165"/>
      <c r="C45" s="165"/>
      <c r="D45" s="165"/>
      <c r="E45" s="165"/>
      <c r="F45" s="222"/>
      <c r="G45" s="223"/>
      <c r="H45" s="224"/>
      <c r="I45" s="223"/>
      <c r="J45" s="223"/>
      <c r="K45" s="224"/>
      <c r="L45" s="223"/>
      <c r="M45" s="225"/>
      <c r="N45" s="167"/>
      <c r="O45" s="165"/>
      <c r="P45" s="167"/>
      <c r="Q45" s="167"/>
    </row>
    <row r="46" spans="1:17" s="13" customFormat="1">
      <c r="A46" s="13">
        <v>46</v>
      </c>
      <c r="B46" s="165"/>
      <c r="C46" s="165"/>
      <c r="D46" s="165"/>
      <c r="E46" s="165"/>
      <c r="F46" s="222"/>
      <c r="G46" s="223"/>
      <c r="H46" s="224"/>
      <c r="I46" s="223"/>
      <c r="J46" s="223"/>
      <c r="K46" s="224"/>
      <c r="L46" s="223"/>
      <c r="M46" s="225"/>
      <c r="N46" s="167"/>
      <c r="O46" s="165"/>
      <c r="P46" s="167"/>
      <c r="Q46" s="167"/>
    </row>
    <row r="47" spans="1:17" s="13" customFormat="1">
      <c r="A47" s="13">
        <v>47</v>
      </c>
      <c r="B47" s="165"/>
      <c r="C47" s="165"/>
      <c r="D47" s="165"/>
      <c r="E47" s="165"/>
      <c r="F47" s="222"/>
      <c r="G47" s="223"/>
      <c r="H47" s="224"/>
      <c r="I47" s="223"/>
      <c r="J47" s="223"/>
      <c r="K47" s="224"/>
      <c r="L47" s="223"/>
      <c r="M47" s="225"/>
      <c r="N47" s="167"/>
      <c r="O47" s="165"/>
      <c r="P47" s="167"/>
      <c r="Q47" s="167"/>
    </row>
    <row r="48" spans="1:17" s="13" customFormat="1">
      <c r="A48" s="13">
        <v>48</v>
      </c>
      <c r="B48" s="165"/>
      <c r="C48" s="165"/>
      <c r="D48" s="165"/>
      <c r="E48" s="165"/>
      <c r="F48" s="222"/>
      <c r="G48" s="223"/>
      <c r="H48" s="224"/>
      <c r="I48" s="223"/>
      <c r="J48" s="223"/>
      <c r="K48" s="224"/>
      <c r="L48" s="223"/>
      <c r="M48" s="225"/>
      <c r="N48" s="167"/>
      <c r="O48" s="165"/>
      <c r="P48" s="167"/>
      <c r="Q48" s="167"/>
    </row>
    <row r="49" spans="1:17" s="13" customFormat="1">
      <c r="A49" s="13">
        <v>49</v>
      </c>
      <c r="B49" s="165"/>
      <c r="C49" s="165"/>
      <c r="D49" s="165"/>
      <c r="E49" s="165"/>
      <c r="F49" s="222"/>
      <c r="G49" s="223"/>
      <c r="H49" s="224"/>
      <c r="I49" s="223"/>
      <c r="J49" s="223"/>
      <c r="K49" s="224"/>
      <c r="L49" s="223"/>
      <c r="M49" s="225"/>
      <c r="N49" s="167"/>
      <c r="O49" s="165"/>
      <c r="P49" s="167"/>
      <c r="Q49" s="167"/>
    </row>
    <row r="50" spans="1:17" s="13" customFormat="1">
      <c r="A50" s="13">
        <v>50</v>
      </c>
      <c r="B50" s="165"/>
      <c r="C50" s="165"/>
      <c r="D50" s="165"/>
      <c r="E50" s="165"/>
      <c r="F50" s="222"/>
      <c r="G50" s="223"/>
      <c r="H50" s="224"/>
      <c r="I50" s="223"/>
      <c r="J50" s="223"/>
      <c r="K50" s="224"/>
      <c r="L50" s="223"/>
      <c r="M50" s="225"/>
      <c r="N50" s="167"/>
      <c r="O50" s="165"/>
      <c r="P50" s="167"/>
      <c r="Q50" s="167"/>
    </row>
    <row r="51" spans="1:17" s="13" customFormat="1">
      <c r="A51" s="13">
        <v>51</v>
      </c>
      <c r="B51" s="165"/>
      <c r="C51" s="165"/>
      <c r="D51" s="165"/>
      <c r="E51" s="165"/>
      <c r="F51" s="222"/>
      <c r="G51" s="223"/>
      <c r="H51" s="224"/>
      <c r="I51" s="223"/>
      <c r="J51" s="223"/>
      <c r="K51" s="224"/>
      <c r="L51" s="223"/>
      <c r="M51" s="225"/>
      <c r="N51" s="167"/>
      <c r="O51" s="165"/>
      <c r="P51" s="167"/>
      <c r="Q51" s="167"/>
    </row>
    <row r="52" spans="1:17" s="13" customFormat="1">
      <c r="A52" s="13">
        <v>52</v>
      </c>
      <c r="B52" s="165"/>
      <c r="C52" s="165"/>
      <c r="D52" s="165"/>
      <c r="E52" s="165"/>
      <c r="F52" s="222"/>
      <c r="G52" s="223"/>
      <c r="H52" s="224"/>
      <c r="I52" s="223"/>
      <c r="J52" s="223"/>
      <c r="K52" s="224"/>
      <c r="L52" s="223"/>
      <c r="M52" s="225"/>
      <c r="N52" s="167"/>
      <c r="O52" s="165"/>
      <c r="P52" s="167"/>
      <c r="Q52" s="167"/>
    </row>
    <row r="53" spans="1:17" s="204" customFormat="1">
      <c r="A53" s="13">
        <v>53</v>
      </c>
      <c r="B53" s="202" t="s">
        <v>299</v>
      </c>
      <c r="C53" s="202" t="s">
        <v>300</v>
      </c>
      <c r="D53" s="202" t="s">
        <v>301</v>
      </c>
      <c r="E53" s="202" t="s">
        <v>290</v>
      </c>
      <c r="F53" s="222">
        <f t="shared" ref="F53:F116" si="8">LEN(E53)</f>
        <v>12</v>
      </c>
      <c r="G53" s="223" t="str">
        <f t="shared" ref="G53:G116" si="9">IF(F53=12,LEFT(E53,1),LEFT(E53,2))</f>
        <v>2</v>
      </c>
      <c r="H53" s="224">
        <f t="shared" ref="H53:H116" si="10">VALUE(G53)</f>
        <v>2</v>
      </c>
      <c r="I53" s="223" t="str">
        <f t="shared" ref="I53:I116" si="11">RIGHT(E53,7)</f>
        <v>34 min.</v>
      </c>
      <c r="J53" s="223" t="str">
        <f t="shared" ref="J53:J116" si="12">LEFT(I53,2)</f>
        <v>34</v>
      </c>
      <c r="K53" s="224">
        <f t="shared" ref="K53:K116" si="13">VALUE(J53)</f>
        <v>34</v>
      </c>
      <c r="L53" s="223" t="str">
        <f t="shared" ref="L53:L116" si="14">H53&amp;":"&amp;K53</f>
        <v>2:34</v>
      </c>
      <c r="M53" s="225">
        <f t="shared" ref="M53:M116" si="15">VALUE(L53)</f>
        <v>0.10694444444444444</v>
      </c>
      <c r="N53" s="203" t="s">
        <v>302</v>
      </c>
      <c r="O53" s="202" t="s">
        <v>303</v>
      </c>
      <c r="P53" s="203" t="s">
        <v>304</v>
      </c>
      <c r="Q53" s="203" t="s">
        <v>276</v>
      </c>
    </row>
    <row r="54" spans="1:17" s="204" customFormat="1">
      <c r="A54" s="13">
        <v>54</v>
      </c>
      <c r="B54" s="202" t="s">
        <v>305</v>
      </c>
      <c r="C54" s="202" t="s">
        <v>306</v>
      </c>
      <c r="D54" s="202" t="s">
        <v>307</v>
      </c>
      <c r="E54" s="202" t="s">
        <v>308</v>
      </c>
      <c r="F54" s="222">
        <f t="shared" si="8"/>
        <v>12</v>
      </c>
      <c r="G54" s="223" t="str">
        <f t="shared" si="9"/>
        <v>1</v>
      </c>
      <c r="H54" s="224">
        <f t="shared" si="10"/>
        <v>1</v>
      </c>
      <c r="I54" s="223" t="str">
        <f t="shared" si="11"/>
        <v>43 min.</v>
      </c>
      <c r="J54" s="223" t="str">
        <f t="shared" si="12"/>
        <v>43</v>
      </c>
      <c r="K54" s="224">
        <f t="shared" si="13"/>
        <v>43</v>
      </c>
      <c r="L54" s="223" t="str">
        <f t="shared" si="14"/>
        <v>1:43</v>
      </c>
      <c r="M54" s="225">
        <f t="shared" si="15"/>
        <v>7.1527777777777787E-2</v>
      </c>
      <c r="N54" s="203" t="s">
        <v>309</v>
      </c>
      <c r="O54" s="202" t="s">
        <v>310</v>
      </c>
      <c r="P54" s="203" t="s">
        <v>304</v>
      </c>
      <c r="Q54" s="203" t="s">
        <v>276</v>
      </c>
    </row>
    <row r="55" spans="1:17" s="204" customFormat="1">
      <c r="A55" s="13">
        <v>55</v>
      </c>
      <c r="B55" s="202" t="s">
        <v>316</v>
      </c>
      <c r="C55" s="202" t="s">
        <v>317</v>
      </c>
      <c r="D55" s="202" t="s">
        <v>318</v>
      </c>
      <c r="E55" s="202" t="s">
        <v>319</v>
      </c>
      <c r="F55" s="222">
        <f t="shared" si="8"/>
        <v>12</v>
      </c>
      <c r="G55" s="223" t="str">
        <f t="shared" si="9"/>
        <v>8</v>
      </c>
      <c r="H55" s="224">
        <f t="shared" si="10"/>
        <v>8</v>
      </c>
      <c r="I55" s="223" t="str">
        <f t="shared" si="11"/>
        <v>20 min.</v>
      </c>
      <c r="J55" s="223" t="str">
        <f t="shared" si="12"/>
        <v>20</v>
      </c>
      <c r="K55" s="224">
        <f t="shared" si="13"/>
        <v>20</v>
      </c>
      <c r="L55" s="223" t="str">
        <f t="shared" si="14"/>
        <v>8:20</v>
      </c>
      <c r="M55" s="225">
        <f t="shared" si="15"/>
        <v>0.34722222222222227</v>
      </c>
      <c r="N55" s="203" t="s">
        <v>320</v>
      </c>
      <c r="O55" s="202" t="s">
        <v>321</v>
      </c>
      <c r="P55" s="203" t="s">
        <v>304</v>
      </c>
      <c r="Q55" s="203" t="s">
        <v>276</v>
      </c>
    </row>
    <row r="56" spans="1:17" s="204" customFormat="1">
      <c r="A56" s="13">
        <v>56</v>
      </c>
      <c r="B56" s="202" t="s">
        <v>328</v>
      </c>
      <c r="C56" s="202" t="s">
        <v>329</v>
      </c>
      <c r="D56" s="202" t="s">
        <v>330</v>
      </c>
      <c r="E56" s="202" t="s">
        <v>331</v>
      </c>
      <c r="F56" s="222">
        <f t="shared" si="8"/>
        <v>13</v>
      </c>
      <c r="G56" s="223" t="str">
        <f t="shared" si="9"/>
        <v>13</v>
      </c>
      <c r="H56" s="224">
        <f t="shared" si="10"/>
        <v>13</v>
      </c>
      <c r="I56" s="223" t="str">
        <f t="shared" si="11"/>
        <v>34 min.</v>
      </c>
      <c r="J56" s="223" t="str">
        <f t="shared" si="12"/>
        <v>34</v>
      </c>
      <c r="K56" s="224">
        <f t="shared" si="13"/>
        <v>34</v>
      </c>
      <c r="L56" s="223" t="str">
        <f t="shared" si="14"/>
        <v>13:34</v>
      </c>
      <c r="M56" s="225">
        <f t="shared" si="15"/>
        <v>0.56527777777777777</v>
      </c>
      <c r="N56" s="203" t="s">
        <v>332</v>
      </c>
      <c r="O56" s="202" t="s">
        <v>303</v>
      </c>
      <c r="P56" s="203" t="s">
        <v>304</v>
      </c>
      <c r="Q56" s="203" t="s">
        <v>276</v>
      </c>
    </row>
    <row r="57" spans="1:17" s="204" customFormat="1">
      <c r="A57" s="13">
        <v>57</v>
      </c>
      <c r="B57" s="202" t="s">
        <v>333</v>
      </c>
      <c r="C57" s="202" t="s">
        <v>334</v>
      </c>
      <c r="D57" s="202" t="s">
        <v>335</v>
      </c>
      <c r="E57" s="202" t="s">
        <v>336</v>
      </c>
      <c r="F57" s="222">
        <f t="shared" si="8"/>
        <v>12</v>
      </c>
      <c r="G57" s="223" t="str">
        <f t="shared" si="9"/>
        <v>9</v>
      </c>
      <c r="H57" s="224">
        <f t="shared" si="10"/>
        <v>9</v>
      </c>
      <c r="I57" s="223" t="str">
        <f t="shared" si="11"/>
        <v>59 min.</v>
      </c>
      <c r="J57" s="223" t="str">
        <f t="shared" si="12"/>
        <v>59</v>
      </c>
      <c r="K57" s="224">
        <f t="shared" si="13"/>
        <v>59</v>
      </c>
      <c r="L57" s="223" t="str">
        <f t="shared" si="14"/>
        <v>9:59</v>
      </c>
      <c r="M57" s="225">
        <f t="shared" si="15"/>
        <v>0.41597222222222219</v>
      </c>
      <c r="N57" s="203" t="s">
        <v>337</v>
      </c>
      <c r="O57" s="202" t="s">
        <v>274</v>
      </c>
      <c r="P57" s="203" t="s">
        <v>304</v>
      </c>
      <c r="Q57" s="203" t="s">
        <v>276</v>
      </c>
    </row>
    <row r="58" spans="1:17" s="204" customFormat="1">
      <c r="A58" s="13">
        <v>58</v>
      </c>
      <c r="B58" s="202" t="s">
        <v>345</v>
      </c>
      <c r="C58" s="202" t="s">
        <v>346</v>
      </c>
      <c r="D58" s="202" t="s">
        <v>347</v>
      </c>
      <c r="E58" s="202" t="s">
        <v>348</v>
      </c>
      <c r="F58" s="222">
        <f t="shared" si="8"/>
        <v>12</v>
      </c>
      <c r="G58" s="223" t="str">
        <f t="shared" si="9"/>
        <v>6</v>
      </c>
      <c r="H58" s="224">
        <f t="shared" si="10"/>
        <v>6</v>
      </c>
      <c r="I58" s="223" t="str">
        <f t="shared" si="11"/>
        <v>06 min.</v>
      </c>
      <c r="J58" s="223" t="str">
        <f t="shared" si="12"/>
        <v>06</v>
      </c>
      <c r="K58" s="224">
        <f t="shared" si="13"/>
        <v>6</v>
      </c>
      <c r="L58" s="223" t="str">
        <f t="shared" si="14"/>
        <v>6:6</v>
      </c>
      <c r="M58" s="225">
        <f t="shared" si="15"/>
        <v>0.25416666666666665</v>
      </c>
      <c r="N58" s="203" t="s">
        <v>349</v>
      </c>
      <c r="O58" s="202" t="s">
        <v>350</v>
      </c>
      <c r="P58" s="203" t="s">
        <v>304</v>
      </c>
      <c r="Q58" s="203" t="s">
        <v>276</v>
      </c>
    </row>
    <row r="59" spans="1:17" s="204" customFormat="1">
      <c r="A59" s="13">
        <v>59</v>
      </c>
      <c r="B59" s="202" t="s">
        <v>356</v>
      </c>
      <c r="C59" s="202" t="s">
        <v>357</v>
      </c>
      <c r="D59" s="202" t="s">
        <v>358</v>
      </c>
      <c r="E59" s="202" t="s">
        <v>354</v>
      </c>
      <c r="F59" s="222">
        <f t="shared" si="8"/>
        <v>12</v>
      </c>
      <c r="G59" s="223" t="str">
        <f t="shared" si="9"/>
        <v>8</v>
      </c>
      <c r="H59" s="224">
        <f t="shared" si="10"/>
        <v>8</v>
      </c>
      <c r="I59" s="223" t="str">
        <f t="shared" si="11"/>
        <v>43 min.</v>
      </c>
      <c r="J59" s="223" t="str">
        <f t="shared" si="12"/>
        <v>43</v>
      </c>
      <c r="K59" s="224">
        <f t="shared" si="13"/>
        <v>43</v>
      </c>
      <c r="L59" s="223" t="str">
        <f t="shared" si="14"/>
        <v>8:43</v>
      </c>
      <c r="M59" s="225">
        <f t="shared" si="15"/>
        <v>0.36319444444444443</v>
      </c>
      <c r="N59" s="203" t="s">
        <v>359</v>
      </c>
      <c r="O59" s="202" t="s">
        <v>360</v>
      </c>
      <c r="P59" s="203" t="s">
        <v>304</v>
      </c>
      <c r="Q59" s="203" t="s">
        <v>276</v>
      </c>
    </row>
    <row r="60" spans="1:17" s="204" customFormat="1">
      <c r="A60" s="13">
        <v>60</v>
      </c>
      <c r="B60" s="202" t="s">
        <v>361</v>
      </c>
      <c r="C60" s="202" t="s">
        <v>362</v>
      </c>
      <c r="D60" s="202" t="s">
        <v>363</v>
      </c>
      <c r="E60" s="202" t="s">
        <v>364</v>
      </c>
      <c r="F60" s="222">
        <f t="shared" si="8"/>
        <v>12</v>
      </c>
      <c r="G60" s="223" t="str">
        <f t="shared" si="9"/>
        <v>4</v>
      </c>
      <c r="H60" s="224">
        <f t="shared" si="10"/>
        <v>4</v>
      </c>
      <c r="I60" s="223" t="str">
        <f t="shared" si="11"/>
        <v>29 min.</v>
      </c>
      <c r="J60" s="223" t="str">
        <f t="shared" si="12"/>
        <v>29</v>
      </c>
      <c r="K60" s="224">
        <f t="shared" si="13"/>
        <v>29</v>
      </c>
      <c r="L60" s="223" t="str">
        <f t="shared" si="14"/>
        <v>4:29</v>
      </c>
      <c r="M60" s="225">
        <f t="shared" si="15"/>
        <v>0.18680555555555556</v>
      </c>
      <c r="N60" s="203" t="s">
        <v>365</v>
      </c>
      <c r="O60" s="202" t="s">
        <v>350</v>
      </c>
      <c r="P60" s="203" t="s">
        <v>304</v>
      </c>
      <c r="Q60" s="203" t="s">
        <v>276</v>
      </c>
    </row>
    <row r="61" spans="1:17" s="204" customFormat="1">
      <c r="A61" s="13">
        <v>61</v>
      </c>
      <c r="B61" s="202" t="s">
        <v>366</v>
      </c>
      <c r="C61" s="202" t="s">
        <v>367</v>
      </c>
      <c r="D61" s="202" t="s">
        <v>368</v>
      </c>
      <c r="E61" s="202" t="s">
        <v>369</v>
      </c>
      <c r="F61" s="222">
        <f t="shared" si="8"/>
        <v>12</v>
      </c>
      <c r="G61" s="223" t="str">
        <f t="shared" si="9"/>
        <v>6</v>
      </c>
      <c r="H61" s="224">
        <f t="shared" si="10"/>
        <v>6</v>
      </c>
      <c r="I61" s="223" t="str">
        <f t="shared" si="11"/>
        <v>05 min.</v>
      </c>
      <c r="J61" s="223" t="str">
        <f t="shared" si="12"/>
        <v>05</v>
      </c>
      <c r="K61" s="224">
        <f t="shared" si="13"/>
        <v>5</v>
      </c>
      <c r="L61" s="223" t="str">
        <f t="shared" si="14"/>
        <v>6:5</v>
      </c>
      <c r="M61" s="225">
        <f t="shared" si="15"/>
        <v>0.25347222222222221</v>
      </c>
      <c r="N61" s="203" t="s">
        <v>370</v>
      </c>
      <c r="O61" s="202" t="s">
        <v>371</v>
      </c>
      <c r="P61" s="203" t="s">
        <v>304</v>
      </c>
      <c r="Q61" s="203" t="s">
        <v>276</v>
      </c>
    </row>
    <row r="62" spans="1:17" s="204" customFormat="1">
      <c r="A62" s="13">
        <v>62</v>
      </c>
      <c r="B62" s="202" t="s">
        <v>372</v>
      </c>
      <c r="C62" s="202" t="s">
        <v>373</v>
      </c>
      <c r="D62" s="202" t="s">
        <v>374</v>
      </c>
      <c r="E62" s="202" t="s">
        <v>375</v>
      </c>
      <c r="F62" s="222">
        <f t="shared" si="8"/>
        <v>12</v>
      </c>
      <c r="G62" s="223" t="str">
        <f t="shared" si="9"/>
        <v>3</v>
      </c>
      <c r="H62" s="224">
        <f t="shared" si="10"/>
        <v>3</v>
      </c>
      <c r="I62" s="223" t="str">
        <f t="shared" si="11"/>
        <v>57 min.</v>
      </c>
      <c r="J62" s="223" t="str">
        <f t="shared" si="12"/>
        <v>57</v>
      </c>
      <c r="K62" s="224">
        <f t="shared" si="13"/>
        <v>57</v>
      </c>
      <c r="L62" s="223" t="str">
        <f t="shared" si="14"/>
        <v>3:57</v>
      </c>
      <c r="M62" s="225">
        <f t="shared" si="15"/>
        <v>0.16458333333333333</v>
      </c>
      <c r="N62" s="203" t="s">
        <v>376</v>
      </c>
      <c r="O62" s="202" t="s">
        <v>310</v>
      </c>
      <c r="P62" s="203" t="s">
        <v>304</v>
      </c>
      <c r="Q62" s="203" t="s">
        <v>276</v>
      </c>
    </row>
    <row r="63" spans="1:17" s="204" customFormat="1">
      <c r="A63" s="13">
        <v>63</v>
      </c>
      <c r="B63" s="202" t="s">
        <v>377</v>
      </c>
      <c r="C63" s="202" t="s">
        <v>334</v>
      </c>
      <c r="D63" s="202" t="s">
        <v>378</v>
      </c>
      <c r="E63" s="202" t="s">
        <v>379</v>
      </c>
      <c r="F63" s="222">
        <f t="shared" si="8"/>
        <v>12</v>
      </c>
      <c r="G63" s="223" t="str">
        <f t="shared" si="9"/>
        <v>8</v>
      </c>
      <c r="H63" s="224">
        <f t="shared" si="10"/>
        <v>8</v>
      </c>
      <c r="I63" s="223" t="str">
        <f t="shared" si="11"/>
        <v>42 min.</v>
      </c>
      <c r="J63" s="223" t="str">
        <f t="shared" si="12"/>
        <v>42</v>
      </c>
      <c r="K63" s="224">
        <f t="shared" si="13"/>
        <v>42</v>
      </c>
      <c r="L63" s="223" t="str">
        <f t="shared" si="14"/>
        <v>8:42</v>
      </c>
      <c r="M63" s="225">
        <f t="shared" si="15"/>
        <v>0.36249999999999999</v>
      </c>
      <c r="N63" s="203" t="s">
        <v>380</v>
      </c>
      <c r="O63" s="202" t="s">
        <v>274</v>
      </c>
      <c r="P63" s="203" t="s">
        <v>304</v>
      </c>
      <c r="Q63" s="203" t="s">
        <v>276</v>
      </c>
    </row>
    <row r="64" spans="1:17" s="204" customFormat="1">
      <c r="A64" s="13">
        <v>64</v>
      </c>
      <c r="B64" s="202" t="s">
        <v>381</v>
      </c>
      <c r="C64" s="202" t="s">
        <v>382</v>
      </c>
      <c r="D64" s="202" t="s">
        <v>383</v>
      </c>
      <c r="E64" s="202" t="s">
        <v>384</v>
      </c>
      <c r="F64" s="222">
        <f t="shared" si="8"/>
        <v>12</v>
      </c>
      <c r="G64" s="223" t="str">
        <f t="shared" si="9"/>
        <v>6</v>
      </c>
      <c r="H64" s="224">
        <f t="shared" si="10"/>
        <v>6</v>
      </c>
      <c r="I64" s="223" t="str">
        <f t="shared" si="11"/>
        <v>44 min.</v>
      </c>
      <c r="J64" s="223" t="str">
        <f t="shared" si="12"/>
        <v>44</v>
      </c>
      <c r="K64" s="224">
        <f t="shared" si="13"/>
        <v>44</v>
      </c>
      <c r="L64" s="223" t="str">
        <f t="shared" si="14"/>
        <v>6:44</v>
      </c>
      <c r="M64" s="225">
        <f t="shared" si="15"/>
        <v>0.28055555555555556</v>
      </c>
      <c r="N64" s="203" t="s">
        <v>385</v>
      </c>
      <c r="O64" s="202" t="s">
        <v>386</v>
      </c>
      <c r="P64" s="203" t="s">
        <v>304</v>
      </c>
      <c r="Q64" s="203" t="s">
        <v>276</v>
      </c>
    </row>
    <row r="65" spans="1:17" s="204" customFormat="1">
      <c r="A65" s="13">
        <v>65</v>
      </c>
      <c r="B65" s="202" t="s">
        <v>392</v>
      </c>
      <c r="C65" s="202" t="s">
        <v>393</v>
      </c>
      <c r="D65" s="202" t="s">
        <v>394</v>
      </c>
      <c r="E65" s="202" t="s">
        <v>395</v>
      </c>
      <c r="F65" s="222">
        <f t="shared" si="8"/>
        <v>12</v>
      </c>
      <c r="G65" s="223" t="str">
        <f t="shared" si="9"/>
        <v>3</v>
      </c>
      <c r="H65" s="224">
        <f t="shared" si="10"/>
        <v>3</v>
      </c>
      <c r="I65" s="223" t="str">
        <f t="shared" si="11"/>
        <v>03 min.</v>
      </c>
      <c r="J65" s="223" t="str">
        <f t="shared" si="12"/>
        <v>03</v>
      </c>
      <c r="K65" s="224">
        <f t="shared" si="13"/>
        <v>3</v>
      </c>
      <c r="L65" s="223" t="str">
        <f t="shared" si="14"/>
        <v>3:3</v>
      </c>
      <c r="M65" s="225">
        <f t="shared" si="15"/>
        <v>0.12708333333333333</v>
      </c>
      <c r="N65" s="203" t="s">
        <v>396</v>
      </c>
      <c r="O65" s="202" t="s">
        <v>274</v>
      </c>
      <c r="P65" s="203" t="s">
        <v>304</v>
      </c>
      <c r="Q65" s="203" t="s">
        <v>276</v>
      </c>
    </row>
    <row r="66" spans="1:17" s="204" customFormat="1">
      <c r="A66" s="13">
        <v>66</v>
      </c>
      <c r="B66" s="202" t="s">
        <v>403</v>
      </c>
      <c r="C66" s="202" t="s">
        <v>404</v>
      </c>
      <c r="D66" s="202" t="s">
        <v>405</v>
      </c>
      <c r="E66" s="202" t="s">
        <v>406</v>
      </c>
      <c r="F66" s="222">
        <f t="shared" si="8"/>
        <v>12</v>
      </c>
      <c r="G66" s="223" t="str">
        <f t="shared" si="9"/>
        <v>2</v>
      </c>
      <c r="H66" s="224">
        <f t="shared" si="10"/>
        <v>2</v>
      </c>
      <c r="I66" s="223" t="str">
        <f t="shared" si="11"/>
        <v>17 min.</v>
      </c>
      <c r="J66" s="223" t="str">
        <f t="shared" si="12"/>
        <v>17</v>
      </c>
      <c r="K66" s="224">
        <f t="shared" si="13"/>
        <v>17</v>
      </c>
      <c r="L66" s="223" t="str">
        <f t="shared" si="14"/>
        <v>2:17</v>
      </c>
      <c r="M66" s="225">
        <f t="shared" si="15"/>
        <v>9.5138888888888884E-2</v>
      </c>
      <c r="N66" s="203" t="s">
        <v>407</v>
      </c>
      <c r="O66" s="202" t="s">
        <v>350</v>
      </c>
      <c r="P66" s="203" t="s">
        <v>304</v>
      </c>
      <c r="Q66" s="203" t="s">
        <v>276</v>
      </c>
    </row>
    <row r="67" spans="1:17" s="204" customFormat="1">
      <c r="A67" s="13">
        <v>67</v>
      </c>
      <c r="B67" s="202" t="s">
        <v>408</v>
      </c>
      <c r="C67" s="202" t="s">
        <v>409</v>
      </c>
      <c r="D67" s="202" t="s">
        <v>410</v>
      </c>
      <c r="E67" s="202" t="s">
        <v>411</v>
      </c>
      <c r="F67" s="222">
        <f t="shared" si="8"/>
        <v>12</v>
      </c>
      <c r="G67" s="223" t="str">
        <f t="shared" si="9"/>
        <v>2</v>
      </c>
      <c r="H67" s="224">
        <f t="shared" si="10"/>
        <v>2</v>
      </c>
      <c r="I67" s="223" t="str">
        <f t="shared" si="11"/>
        <v>38 min.</v>
      </c>
      <c r="J67" s="223" t="str">
        <f t="shared" si="12"/>
        <v>38</v>
      </c>
      <c r="K67" s="224">
        <f t="shared" si="13"/>
        <v>38</v>
      </c>
      <c r="L67" s="223" t="str">
        <f t="shared" si="14"/>
        <v>2:38</v>
      </c>
      <c r="M67" s="225">
        <f t="shared" si="15"/>
        <v>0.10972222222222222</v>
      </c>
      <c r="N67" s="203" t="s">
        <v>412</v>
      </c>
      <c r="O67" s="202" t="s">
        <v>413</v>
      </c>
      <c r="P67" s="203" t="s">
        <v>304</v>
      </c>
      <c r="Q67" s="203" t="s">
        <v>276</v>
      </c>
    </row>
    <row r="68" spans="1:17" s="204" customFormat="1">
      <c r="A68" s="13">
        <v>68</v>
      </c>
      <c r="B68" s="202" t="s">
        <v>414</v>
      </c>
      <c r="C68" s="202" t="s">
        <v>415</v>
      </c>
      <c r="D68" s="202" t="s">
        <v>416</v>
      </c>
      <c r="E68" s="202" t="s">
        <v>417</v>
      </c>
      <c r="F68" s="222">
        <f t="shared" si="8"/>
        <v>13</v>
      </c>
      <c r="G68" s="223" t="str">
        <f t="shared" si="9"/>
        <v>13</v>
      </c>
      <c r="H68" s="224">
        <f t="shared" si="10"/>
        <v>13</v>
      </c>
      <c r="I68" s="223" t="str">
        <f t="shared" si="11"/>
        <v>24 min.</v>
      </c>
      <c r="J68" s="223" t="str">
        <f t="shared" si="12"/>
        <v>24</v>
      </c>
      <c r="K68" s="224">
        <f t="shared" si="13"/>
        <v>24</v>
      </c>
      <c r="L68" s="223" t="str">
        <f t="shared" si="14"/>
        <v>13:24</v>
      </c>
      <c r="M68" s="225">
        <f t="shared" si="15"/>
        <v>0.55833333333333335</v>
      </c>
      <c r="N68" s="203" t="s">
        <v>418</v>
      </c>
      <c r="O68" s="202" t="s">
        <v>274</v>
      </c>
      <c r="P68" s="203" t="s">
        <v>304</v>
      </c>
      <c r="Q68" s="203" t="s">
        <v>276</v>
      </c>
    </row>
    <row r="69" spans="1:17" s="204" customFormat="1">
      <c r="A69" s="13">
        <v>69</v>
      </c>
      <c r="B69" s="202" t="s">
        <v>419</v>
      </c>
      <c r="C69" s="202" t="s">
        <v>420</v>
      </c>
      <c r="D69" s="202" t="s">
        <v>421</v>
      </c>
      <c r="E69" s="202" t="s">
        <v>422</v>
      </c>
      <c r="F69" s="222">
        <f t="shared" si="8"/>
        <v>12</v>
      </c>
      <c r="G69" s="223" t="str">
        <f t="shared" si="9"/>
        <v>8</v>
      </c>
      <c r="H69" s="224">
        <f t="shared" si="10"/>
        <v>8</v>
      </c>
      <c r="I69" s="223" t="str">
        <f t="shared" si="11"/>
        <v>53 min.</v>
      </c>
      <c r="J69" s="223" t="str">
        <f t="shared" si="12"/>
        <v>53</v>
      </c>
      <c r="K69" s="224">
        <f t="shared" si="13"/>
        <v>53</v>
      </c>
      <c r="L69" s="223" t="str">
        <f t="shared" si="14"/>
        <v>8:53</v>
      </c>
      <c r="M69" s="225">
        <f t="shared" si="15"/>
        <v>0.37013888888888885</v>
      </c>
      <c r="N69" s="203" t="s">
        <v>423</v>
      </c>
      <c r="O69" s="202" t="s">
        <v>303</v>
      </c>
      <c r="P69" s="203" t="s">
        <v>304</v>
      </c>
      <c r="Q69" s="203" t="s">
        <v>276</v>
      </c>
    </row>
    <row r="70" spans="1:17" s="204" customFormat="1">
      <c r="A70" s="13">
        <v>70</v>
      </c>
      <c r="B70" s="202" t="s">
        <v>424</v>
      </c>
      <c r="C70" s="202" t="s">
        <v>425</v>
      </c>
      <c r="D70" s="202" t="s">
        <v>426</v>
      </c>
      <c r="E70" s="202" t="s">
        <v>427</v>
      </c>
      <c r="F70" s="222">
        <f t="shared" si="8"/>
        <v>12</v>
      </c>
      <c r="G70" s="223" t="str">
        <f t="shared" si="9"/>
        <v>5</v>
      </c>
      <c r="H70" s="224">
        <f t="shared" si="10"/>
        <v>5</v>
      </c>
      <c r="I70" s="223" t="str">
        <f t="shared" si="11"/>
        <v>48 min.</v>
      </c>
      <c r="J70" s="223" t="str">
        <f t="shared" si="12"/>
        <v>48</v>
      </c>
      <c r="K70" s="224">
        <f t="shared" si="13"/>
        <v>48</v>
      </c>
      <c r="L70" s="223" t="str">
        <f t="shared" si="14"/>
        <v>5:48</v>
      </c>
      <c r="M70" s="225">
        <f t="shared" si="15"/>
        <v>0.24166666666666667</v>
      </c>
      <c r="N70" s="203" t="s">
        <v>428</v>
      </c>
      <c r="O70" s="202" t="s">
        <v>292</v>
      </c>
      <c r="P70" s="203" t="s">
        <v>304</v>
      </c>
      <c r="Q70" s="203" t="s">
        <v>276</v>
      </c>
    </row>
    <row r="71" spans="1:17" s="204" customFormat="1">
      <c r="A71" s="13">
        <v>71</v>
      </c>
      <c r="B71" s="202" t="s">
        <v>429</v>
      </c>
      <c r="C71" s="202" t="s">
        <v>430</v>
      </c>
      <c r="D71" s="202" t="s">
        <v>431</v>
      </c>
      <c r="E71" s="202" t="s">
        <v>432</v>
      </c>
      <c r="F71" s="222">
        <f t="shared" si="8"/>
        <v>12</v>
      </c>
      <c r="G71" s="223" t="str">
        <f t="shared" si="9"/>
        <v>6</v>
      </c>
      <c r="H71" s="224">
        <f t="shared" si="10"/>
        <v>6</v>
      </c>
      <c r="I71" s="223" t="str">
        <f t="shared" si="11"/>
        <v>47 min.</v>
      </c>
      <c r="J71" s="223" t="str">
        <f t="shared" si="12"/>
        <v>47</v>
      </c>
      <c r="K71" s="224">
        <f t="shared" si="13"/>
        <v>47</v>
      </c>
      <c r="L71" s="223" t="str">
        <f t="shared" si="14"/>
        <v>6:47</v>
      </c>
      <c r="M71" s="225">
        <f t="shared" si="15"/>
        <v>0.28263888888888888</v>
      </c>
      <c r="N71" s="203" t="s">
        <v>433</v>
      </c>
      <c r="O71" s="202" t="s">
        <v>303</v>
      </c>
      <c r="P71" s="203" t="s">
        <v>304</v>
      </c>
      <c r="Q71" s="203" t="s">
        <v>276</v>
      </c>
    </row>
    <row r="72" spans="1:17" s="204" customFormat="1">
      <c r="A72" s="13">
        <v>72</v>
      </c>
      <c r="B72" s="202" t="s">
        <v>434</v>
      </c>
      <c r="C72" s="202" t="s">
        <v>435</v>
      </c>
      <c r="D72" s="202" t="s">
        <v>436</v>
      </c>
      <c r="E72" s="202" t="s">
        <v>437</v>
      </c>
      <c r="F72" s="222">
        <f t="shared" si="8"/>
        <v>13</v>
      </c>
      <c r="G72" s="223" t="str">
        <f t="shared" si="9"/>
        <v>10</v>
      </c>
      <c r="H72" s="224">
        <f t="shared" si="10"/>
        <v>10</v>
      </c>
      <c r="I72" s="223" t="str">
        <f t="shared" si="11"/>
        <v>39 min.</v>
      </c>
      <c r="J72" s="223" t="str">
        <f t="shared" si="12"/>
        <v>39</v>
      </c>
      <c r="K72" s="224">
        <f t="shared" si="13"/>
        <v>39</v>
      </c>
      <c r="L72" s="223" t="str">
        <f t="shared" si="14"/>
        <v>10:39</v>
      </c>
      <c r="M72" s="225">
        <f t="shared" si="15"/>
        <v>0.44375000000000003</v>
      </c>
      <c r="N72" s="203" t="s">
        <v>438</v>
      </c>
      <c r="O72" s="202" t="s">
        <v>439</v>
      </c>
      <c r="P72" s="203" t="s">
        <v>304</v>
      </c>
      <c r="Q72" s="203" t="s">
        <v>276</v>
      </c>
    </row>
    <row r="73" spans="1:17" s="204" customFormat="1">
      <c r="A73" s="13">
        <v>73</v>
      </c>
      <c r="B73" s="202" t="s">
        <v>440</v>
      </c>
      <c r="C73" s="202" t="s">
        <v>441</v>
      </c>
      <c r="D73" s="202" t="s">
        <v>442</v>
      </c>
      <c r="E73" s="202" t="s">
        <v>443</v>
      </c>
      <c r="F73" s="222">
        <f t="shared" si="8"/>
        <v>12</v>
      </c>
      <c r="G73" s="223" t="str">
        <f t="shared" si="9"/>
        <v>5</v>
      </c>
      <c r="H73" s="224">
        <f t="shared" si="10"/>
        <v>5</v>
      </c>
      <c r="I73" s="223" t="str">
        <f t="shared" si="11"/>
        <v>30 min.</v>
      </c>
      <c r="J73" s="223" t="str">
        <f t="shared" si="12"/>
        <v>30</v>
      </c>
      <c r="K73" s="224">
        <f t="shared" si="13"/>
        <v>30</v>
      </c>
      <c r="L73" s="223" t="str">
        <f t="shared" si="14"/>
        <v>5:30</v>
      </c>
      <c r="M73" s="225">
        <f t="shared" si="15"/>
        <v>0.22916666666666666</v>
      </c>
      <c r="N73" s="203" t="s">
        <v>444</v>
      </c>
      <c r="O73" s="202" t="s">
        <v>303</v>
      </c>
      <c r="P73" s="203" t="s">
        <v>304</v>
      </c>
      <c r="Q73" s="203" t="s">
        <v>276</v>
      </c>
    </row>
    <row r="74" spans="1:17" s="204" customFormat="1">
      <c r="A74" s="13">
        <v>74</v>
      </c>
      <c r="B74" s="202" t="s">
        <v>445</v>
      </c>
      <c r="C74" s="202" t="s">
        <v>446</v>
      </c>
      <c r="D74" s="202" t="s">
        <v>447</v>
      </c>
      <c r="E74" s="202" t="s">
        <v>448</v>
      </c>
      <c r="F74" s="222">
        <f t="shared" si="8"/>
        <v>12</v>
      </c>
      <c r="G74" s="223" t="str">
        <f t="shared" si="9"/>
        <v>5</v>
      </c>
      <c r="H74" s="224">
        <f t="shared" si="10"/>
        <v>5</v>
      </c>
      <c r="I74" s="223" t="str">
        <f t="shared" si="11"/>
        <v>34 min.</v>
      </c>
      <c r="J74" s="223" t="str">
        <f t="shared" si="12"/>
        <v>34</v>
      </c>
      <c r="K74" s="224">
        <f t="shared" si="13"/>
        <v>34</v>
      </c>
      <c r="L74" s="223" t="str">
        <f t="shared" si="14"/>
        <v>5:34</v>
      </c>
      <c r="M74" s="225">
        <f t="shared" si="15"/>
        <v>0.23194444444444443</v>
      </c>
      <c r="N74" s="203" t="s">
        <v>449</v>
      </c>
      <c r="O74" s="202" t="s">
        <v>303</v>
      </c>
      <c r="P74" s="203" t="s">
        <v>304</v>
      </c>
      <c r="Q74" s="203" t="s">
        <v>276</v>
      </c>
    </row>
    <row r="75" spans="1:17" s="204" customFormat="1">
      <c r="A75" s="13">
        <v>75</v>
      </c>
      <c r="B75" s="202" t="s">
        <v>450</v>
      </c>
      <c r="C75" s="202" t="s">
        <v>451</v>
      </c>
      <c r="D75" s="202" t="s">
        <v>452</v>
      </c>
      <c r="E75" s="202" t="s">
        <v>453</v>
      </c>
      <c r="F75" s="222">
        <f t="shared" si="8"/>
        <v>12</v>
      </c>
      <c r="G75" s="223" t="str">
        <f t="shared" si="9"/>
        <v>1</v>
      </c>
      <c r="H75" s="224">
        <f t="shared" si="10"/>
        <v>1</v>
      </c>
      <c r="I75" s="223" t="str">
        <f t="shared" si="11"/>
        <v>07 min.</v>
      </c>
      <c r="J75" s="223" t="str">
        <f t="shared" si="12"/>
        <v>07</v>
      </c>
      <c r="K75" s="224">
        <f t="shared" si="13"/>
        <v>7</v>
      </c>
      <c r="L75" s="223" t="str">
        <f t="shared" si="14"/>
        <v>1:7</v>
      </c>
      <c r="M75" s="225">
        <f t="shared" si="15"/>
        <v>4.6527777777777779E-2</v>
      </c>
      <c r="N75" s="203" t="s">
        <v>407</v>
      </c>
      <c r="O75" s="202" t="s">
        <v>310</v>
      </c>
      <c r="P75" s="203" t="s">
        <v>304</v>
      </c>
      <c r="Q75" s="203" t="s">
        <v>276</v>
      </c>
    </row>
    <row r="76" spans="1:17" s="204" customFormat="1">
      <c r="A76" s="13">
        <v>76</v>
      </c>
      <c r="B76" s="202" t="s">
        <v>473</v>
      </c>
      <c r="C76" s="202" t="s">
        <v>474</v>
      </c>
      <c r="D76" s="202" t="s">
        <v>475</v>
      </c>
      <c r="E76" s="202" t="s">
        <v>476</v>
      </c>
      <c r="F76" s="222">
        <f t="shared" si="8"/>
        <v>12</v>
      </c>
      <c r="G76" s="223" t="str">
        <f t="shared" si="9"/>
        <v>3</v>
      </c>
      <c r="H76" s="224">
        <f t="shared" si="10"/>
        <v>3</v>
      </c>
      <c r="I76" s="223" t="str">
        <f t="shared" si="11"/>
        <v>26 min.</v>
      </c>
      <c r="J76" s="223" t="str">
        <f t="shared" si="12"/>
        <v>26</v>
      </c>
      <c r="K76" s="224">
        <f t="shared" si="13"/>
        <v>26</v>
      </c>
      <c r="L76" s="223" t="str">
        <f t="shared" si="14"/>
        <v>3:26</v>
      </c>
      <c r="M76" s="225">
        <f t="shared" si="15"/>
        <v>0.14305555555555557</v>
      </c>
      <c r="N76" s="203" t="s">
        <v>477</v>
      </c>
      <c r="O76" s="202" t="s">
        <v>303</v>
      </c>
      <c r="P76" s="203" t="s">
        <v>304</v>
      </c>
      <c r="Q76" s="203" t="s">
        <v>276</v>
      </c>
    </row>
    <row r="77" spans="1:17" s="204" customFormat="1">
      <c r="A77" s="13">
        <v>77</v>
      </c>
      <c r="B77" s="202" t="s">
        <v>478</v>
      </c>
      <c r="C77" s="202" t="s">
        <v>479</v>
      </c>
      <c r="D77" s="202" t="s">
        <v>480</v>
      </c>
      <c r="E77" s="202" t="s">
        <v>481</v>
      </c>
      <c r="F77" s="222">
        <f t="shared" si="8"/>
        <v>13</v>
      </c>
      <c r="G77" s="223" t="str">
        <f t="shared" si="9"/>
        <v>10</v>
      </c>
      <c r="H77" s="224">
        <f t="shared" si="10"/>
        <v>10</v>
      </c>
      <c r="I77" s="223" t="str">
        <f t="shared" si="11"/>
        <v>22 min.</v>
      </c>
      <c r="J77" s="223" t="str">
        <f t="shared" si="12"/>
        <v>22</v>
      </c>
      <c r="K77" s="224">
        <f t="shared" si="13"/>
        <v>22</v>
      </c>
      <c r="L77" s="223" t="str">
        <f t="shared" si="14"/>
        <v>10:22</v>
      </c>
      <c r="M77" s="225">
        <f t="shared" si="15"/>
        <v>0.43194444444444446</v>
      </c>
      <c r="N77" s="203" t="s">
        <v>477</v>
      </c>
      <c r="O77" s="202" t="s">
        <v>303</v>
      </c>
      <c r="P77" s="203" t="s">
        <v>304</v>
      </c>
      <c r="Q77" s="203" t="s">
        <v>276</v>
      </c>
    </row>
    <row r="78" spans="1:17" s="204" customFormat="1">
      <c r="A78" s="13">
        <v>78</v>
      </c>
      <c r="B78" s="202" t="s">
        <v>482</v>
      </c>
      <c r="C78" s="202" t="s">
        <v>483</v>
      </c>
      <c r="D78" s="202" t="s">
        <v>484</v>
      </c>
      <c r="E78" s="202" t="s">
        <v>485</v>
      </c>
      <c r="F78" s="222">
        <f t="shared" si="8"/>
        <v>13</v>
      </c>
      <c r="G78" s="223" t="str">
        <f t="shared" si="9"/>
        <v>12</v>
      </c>
      <c r="H78" s="224">
        <f t="shared" si="10"/>
        <v>12</v>
      </c>
      <c r="I78" s="223" t="str">
        <f t="shared" si="11"/>
        <v>09 min.</v>
      </c>
      <c r="J78" s="223" t="str">
        <f t="shared" si="12"/>
        <v>09</v>
      </c>
      <c r="K78" s="224">
        <f t="shared" si="13"/>
        <v>9</v>
      </c>
      <c r="L78" s="223" t="str">
        <f t="shared" si="14"/>
        <v>12:9</v>
      </c>
      <c r="M78" s="225">
        <f t="shared" si="15"/>
        <v>0.50624999999999998</v>
      </c>
      <c r="N78" s="203" t="s">
        <v>486</v>
      </c>
      <c r="O78" s="202" t="s">
        <v>303</v>
      </c>
      <c r="P78" s="203" t="s">
        <v>304</v>
      </c>
      <c r="Q78" s="203" t="s">
        <v>276</v>
      </c>
    </row>
    <row r="79" spans="1:17" s="204" customFormat="1">
      <c r="A79" s="13">
        <v>79</v>
      </c>
      <c r="B79" s="202" t="s">
        <v>487</v>
      </c>
      <c r="C79" s="202" t="s">
        <v>488</v>
      </c>
      <c r="D79" s="202" t="s">
        <v>489</v>
      </c>
      <c r="E79" s="202" t="s">
        <v>490</v>
      </c>
      <c r="F79" s="222">
        <f t="shared" si="8"/>
        <v>12</v>
      </c>
      <c r="G79" s="223" t="str">
        <f t="shared" si="9"/>
        <v>6</v>
      </c>
      <c r="H79" s="224">
        <f t="shared" si="10"/>
        <v>6</v>
      </c>
      <c r="I79" s="223" t="str">
        <f t="shared" si="11"/>
        <v>55 min.</v>
      </c>
      <c r="J79" s="223" t="str">
        <f t="shared" si="12"/>
        <v>55</v>
      </c>
      <c r="K79" s="224">
        <f t="shared" si="13"/>
        <v>55</v>
      </c>
      <c r="L79" s="223" t="str">
        <f t="shared" si="14"/>
        <v>6:55</v>
      </c>
      <c r="M79" s="225">
        <f t="shared" si="15"/>
        <v>0.28819444444444448</v>
      </c>
      <c r="N79" s="203" t="s">
        <v>444</v>
      </c>
      <c r="O79" s="202" t="s">
        <v>303</v>
      </c>
      <c r="P79" s="203" t="s">
        <v>304</v>
      </c>
      <c r="Q79" s="203" t="s">
        <v>276</v>
      </c>
    </row>
    <row r="80" spans="1:17" s="204" customFormat="1">
      <c r="A80" s="13">
        <v>80</v>
      </c>
      <c r="B80" s="202" t="s">
        <v>501</v>
      </c>
      <c r="C80" s="202" t="s">
        <v>502</v>
      </c>
      <c r="D80" s="202" t="s">
        <v>503</v>
      </c>
      <c r="E80" s="202" t="s">
        <v>504</v>
      </c>
      <c r="F80" s="222">
        <f t="shared" si="8"/>
        <v>12</v>
      </c>
      <c r="G80" s="223" t="str">
        <f t="shared" si="9"/>
        <v>4</v>
      </c>
      <c r="H80" s="224">
        <f t="shared" si="10"/>
        <v>4</v>
      </c>
      <c r="I80" s="223" t="str">
        <f t="shared" si="11"/>
        <v>10 min.</v>
      </c>
      <c r="J80" s="223" t="str">
        <f t="shared" si="12"/>
        <v>10</v>
      </c>
      <c r="K80" s="224">
        <f t="shared" si="13"/>
        <v>10</v>
      </c>
      <c r="L80" s="223" t="str">
        <f t="shared" si="14"/>
        <v>4:10</v>
      </c>
      <c r="M80" s="225">
        <f t="shared" si="15"/>
        <v>0.17361111111111113</v>
      </c>
      <c r="N80" s="203" t="s">
        <v>505</v>
      </c>
      <c r="O80" s="202" t="s">
        <v>506</v>
      </c>
      <c r="P80" s="203" t="s">
        <v>304</v>
      </c>
      <c r="Q80" s="203" t="s">
        <v>276</v>
      </c>
    </row>
    <row r="81" spans="1:17" s="204" customFormat="1">
      <c r="A81" s="13">
        <v>81</v>
      </c>
      <c r="B81" s="202" t="s">
        <v>507</v>
      </c>
      <c r="C81" s="202" t="s">
        <v>508</v>
      </c>
      <c r="D81" s="202" t="s">
        <v>509</v>
      </c>
      <c r="E81" s="202" t="s">
        <v>510</v>
      </c>
      <c r="F81" s="222">
        <f t="shared" si="8"/>
        <v>12</v>
      </c>
      <c r="G81" s="223" t="str">
        <f t="shared" si="9"/>
        <v>6</v>
      </c>
      <c r="H81" s="224">
        <f t="shared" si="10"/>
        <v>6</v>
      </c>
      <c r="I81" s="223" t="str">
        <f t="shared" si="11"/>
        <v>53 min.</v>
      </c>
      <c r="J81" s="223" t="str">
        <f t="shared" si="12"/>
        <v>53</v>
      </c>
      <c r="K81" s="224">
        <f t="shared" si="13"/>
        <v>53</v>
      </c>
      <c r="L81" s="223" t="str">
        <f t="shared" si="14"/>
        <v>6:53</v>
      </c>
      <c r="M81" s="225">
        <f t="shared" si="15"/>
        <v>0.28680555555555554</v>
      </c>
      <c r="N81" s="203" t="s">
        <v>438</v>
      </c>
      <c r="O81" s="202" t="s">
        <v>310</v>
      </c>
      <c r="P81" s="203" t="s">
        <v>304</v>
      </c>
      <c r="Q81" s="203" t="s">
        <v>276</v>
      </c>
    </row>
    <row r="82" spans="1:17" s="204" customFormat="1">
      <c r="A82" s="13">
        <v>82</v>
      </c>
      <c r="B82" s="202" t="s">
        <v>517</v>
      </c>
      <c r="C82" s="202" t="s">
        <v>518</v>
      </c>
      <c r="D82" s="202" t="s">
        <v>519</v>
      </c>
      <c r="E82" s="202" t="s">
        <v>520</v>
      </c>
      <c r="F82" s="222">
        <f t="shared" si="8"/>
        <v>12</v>
      </c>
      <c r="G82" s="223" t="str">
        <f t="shared" si="9"/>
        <v>7</v>
      </c>
      <c r="H82" s="224">
        <f t="shared" si="10"/>
        <v>7</v>
      </c>
      <c r="I82" s="223" t="str">
        <f t="shared" si="11"/>
        <v>11 min.</v>
      </c>
      <c r="J82" s="223" t="str">
        <f t="shared" si="12"/>
        <v>11</v>
      </c>
      <c r="K82" s="224">
        <f t="shared" si="13"/>
        <v>11</v>
      </c>
      <c r="L82" s="223" t="str">
        <f t="shared" si="14"/>
        <v>7:11</v>
      </c>
      <c r="M82" s="225">
        <f t="shared" si="15"/>
        <v>0.29930555555555555</v>
      </c>
      <c r="N82" s="203" t="s">
        <v>521</v>
      </c>
      <c r="O82" s="202" t="s">
        <v>303</v>
      </c>
      <c r="P82" s="203" t="s">
        <v>304</v>
      </c>
      <c r="Q82" s="203" t="s">
        <v>276</v>
      </c>
    </row>
    <row r="83" spans="1:17" s="204" customFormat="1">
      <c r="A83" s="13">
        <v>83</v>
      </c>
      <c r="B83" s="202" t="s">
        <v>522</v>
      </c>
      <c r="C83" s="202" t="s">
        <v>523</v>
      </c>
      <c r="D83" s="202" t="s">
        <v>524</v>
      </c>
      <c r="E83" s="202" t="s">
        <v>525</v>
      </c>
      <c r="F83" s="222">
        <f t="shared" si="8"/>
        <v>13</v>
      </c>
      <c r="G83" s="223" t="str">
        <f t="shared" si="9"/>
        <v>19</v>
      </c>
      <c r="H83" s="224">
        <f t="shared" si="10"/>
        <v>19</v>
      </c>
      <c r="I83" s="223" t="str">
        <f t="shared" si="11"/>
        <v>14 min.</v>
      </c>
      <c r="J83" s="223" t="str">
        <f t="shared" si="12"/>
        <v>14</v>
      </c>
      <c r="K83" s="224">
        <f t="shared" si="13"/>
        <v>14</v>
      </c>
      <c r="L83" s="223" t="str">
        <f t="shared" si="14"/>
        <v>19:14</v>
      </c>
      <c r="M83" s="225">
        <f t="shared" si="15"/>
        <v>0.80138888888888893</v>
      </c>
      <c r="N83" s="203" t="s">
        <v>526</v>
      </c>
      <c r="O83" s="202" t="s">
        <v>303</v>
      </c>
      <c r="P83" s="203" t="s">
        <v>304</v>
      </c>
      <c r="Q83" s="203" t="s">
        <v>276</v>
      </c>
    </row>
    <row r="84" spans="1:17" s="204" customFormat="1">
      <c r="A84" s="13">
        <v>84</v>
      </c>
      <c r="B84" s="202" t="s">
        <v>527</v>
      </c>
      <c r="C84" s="202" t="s">
        <v>528</v>
      </c>
      <c r="D84" s="202" t="s">
        <v>529</v>
      </c>
      <c r="E84" s="202" t="s">
        <v>530</v>
      </c>
      <c r="F84" s="222">
        <f t="shared" si="8"/>
        <v>13</v>
      </c>
      <c r="G84" s="223" t="str">
        <f t="shared" si="9"/>
        <v>10</v>
      </c>
      <c r="H84" s="224">
        <f t="shared" si="10"/>
        <v>10</v>
      </c>
      <c r="I84" s="223" t="str">
        <f t="shared" si="11"/>
        <v>17 min.</v>
      </c>
      <c r="J84" s="223" t="str">
        <f t="shared" si="12"/>
        <v>17</v>
      </c>
      <c r="K84" s="224">
        <f t="shared" si="13"/>
        <v>17</v>
      </c>
      <c r="L84" s="223" t="str">
        <f t="shared" si="14"/>
        <v>10:17</v>
      </c>
      <c r="M84" s="225">
        <f t="shared" si="15"/>
        <v>0.4284722222222222</v>
      </c>
      <c r="N84" s="203" t="s">
        <v>531</v>
      </c>
      <c r="O84" s="202" t="s">
        <v>303</v>
      </c>
      <c r="P84" s="203" t="s">
        <v>304</v>
      </c>
      <c r="Q84" s="203" t="s">
        <v>276</v>
      </c>
    </row>
    <row r="85" spans="1:17" s="204" customFormat="1">
      <c r="A85" s="13">
        <v>85</v>
      </c>
      <c r="B85" s="202" t="s">
        <v>532</v>
      </c>
      <c r="C85" s="202" t="s">
        <v>533</v>
      </c>
      <c r="D85" s="202" t="s">
        <v>534</v>
      </c>
      <c r="E85" s="202" t="s">
        <v>535</v>
      </c>
      <c r="F85" s="222">
        <f t="shared" si="8"/>
        <v>12</v>
      </c>
      <c r="G85" s="223" t="str">
        <f t="shared" si="9"/>
        <v>4</v>
      </c>
      <c r="H85" s="224">
        <f t="shared" si="10"/>
        <v>4</v>
      </c>
      <c r="I85" s="223" t="str">
        <f t="shared" si="11"/>
        <v>28 min.</v>
      </c>
      <c r="J85" s="223" t="str">
        <f t="shared" si="12"/>
        <v>28</v>
      </c>
      <c r="K85" s="224">
        <f t="shared" si="13"/>
        <v>28</v>
      </c>
      <c r="L85" s="223" t="str">
        <f t="shared" si="14"/>
        <v>4:28</v>
      </c>
      <c r="M85" s="225">
        <f t="shared" si="15"/>
        <v>0.18611111111111112</v>
      </c>
      <c r="N85" s="203" t="s">
        <v>428</v>
      </c>
      <c r="O85" s="202" t="s">
        <v>536</v>
      </c>
      <c r="P85" s="203" t="s">
        <v>304</v>
      </c>
      <c r="Q85" s="203" t="s">
        <v>276</v>
      </c>
    </row>
    <row r="86" spans="1:17" s="204" customFormat="1">
      <c r="A86" s="13">
        <v>86</v>
      </c>
      <c r="B86" s="202" t="s">
        <v>640</v>
      </c>
      <c r="C86" s="202" t="s">
        <v>641</v>
      </c>
      <c r="D86" s="202" t="s">
        <v>642</v>
      </c>
      <c r="E86" s="202" t="s">
        <v>510</v>
      </c>
      <c r="F86" s="222">
        <f t="shared" si="8"/>
        <v>12</v>
      </c>
      <c r="G86" s="223" t="str">
        <f t="shared" si="9"/>
        <v>6</v>
      </c>
      <c r="H86" s="224">
        <f t="shared" si="10"/>
        <v>6</v>
      </c>
      <c r="I86" s="223" t="str">
        <f t="shared" si="11"/>
        <v>53 min.</v>
      </c>
      <c r="J86" s="223" t="str">
        <f t="shared" si="12"/>
        <v>53</v>
      </c>
      <c r="K86" s="224">
        <f t="shared" si="13"/>
        <v>53</v>
      </c>
      <c r="L86" s="223" t="str">
        <f t="shared" si="14"/>
        <v>6:53</v>
      </c>
      <c r="M86" s="225">
        <f t="shared" si="15"/>
        <v>0.28680555555555554</v>
      </c>
      <c r="N86" s="203" t="s">
        <v>643</v>
      </c>
      <c r="O86" s="202" t="s">
        <v>274</v>
      </c>
      <c r="P86" s="203" t="s">
        <v>304</v>
      </c>
      <c r="Q86" s="203" t="s">
        <v>276</v>
      </c>
    </row>
    <row r="87" spans="1:17" s="204" customFormat="1">
      <c r="A87" s="13">
        <v>87</v>
      </c>
      <c r="B87" s="202" t="s">
        <v>812</v>
      </c>
      <c r="C87" s="202" t="s">
        <v>813</v>
      </c>
      <c r="D87" s="202" t="s">
        <v>814</v>
      </c>
      <c r="E87" s="202" t="s">
        <v>815</v>
      </c>
      <c r="F87" s="222">
        <f t="shared" si="8"/>
        <v>12</v>
      </c>
      <c r="G87" s="223" t="str">
        <f t="shared" si="9"/>
        <v>5</v>
      </c>
      <c r="H87" s="224">
        <f t="shared" si="10"/>
        <v>5</v>
      </c>
      <c r="I87" s="223" t="str">
        <f t="shared" si="11"/>
        <v>23 min.</v>
      </c>
      <c r="J87" s="223" t="str">
        <f t="shared" si="12"/>
        <v>23</v>
      </c>
      <c r="K87" s="224">
        <f t="shared" si="13"/>
        <v>23</v>
      </c>
      <c r="L87" s="223" t="str">
        <f t="shared" si="14"/>
        <v>5:23</v>
      </c>
      <c r="M87" s="225">
        <f t="shared" si="15"/>
        <v>0.22430555555555556</v>
      </c>
      <c r="N87" s="203" t="s">
        <v>816</v>
      </c>
      <c r="O87" s="202" t="s">
        <v>536</v>
      </c>
      <c r="P87" s="203" t="s">
        <v>304</v>
      </c>
      <c r="Q87" s="203" t="s">
        <v>276</v>
      </c>
    </row>
    <row r="88" spans="1:17" s="204" customFormat="1">
      <c r="A88" s="13">
        <v>88</v>
      </c>
      <c r="B88" s="202" t="s">
        <v>844</v>
      </c>
      <c r="C88" s="202" t="s">
        <v>845</v>
      </c>
      <c r="D88" s="202" t="s">
        <v>846</v>
      </c>
      <c r="E88" s="202" t="s">
        <v>847</v>
      </c>
      <c r="F88" s="222">
        <f t="shared" si="8"/>
        <v>12</v>
      </c>
      <c r="G88" s="223" t="str">
        <f t="shared" si="9"/>
        <v>5</v>
      </c>
      <c r="H88" s="224">
        <f t="shared" si="10"/>
        <v>5</v>
      </c>
      <c r="I88" s="223" t="str">
        <f t="shared" si="11"/>
        <v>38 min.</v>
      </c>
      <c r="J88" s="223" t="str">
        <f t="shared" si="12"/>
        <v>38</v>
      </c>
      <c r="K88" s="224">
        <f t="shared" si="13"/>
        <v>38</v>
      </c>
      <c r="L88" s="223" t="str">
        <f t="shared" si="14"/>
        <v>5:38</v>
      </c>
      <c r="M88" s="225">
        <f t="shared" si="15"/>
        <v>0.23472222222222219</v>
      </c>
      <c r="N88" s="203" t="s">
        <v>848</v>
      </c>
      <c r="O88" s="202" t="s">
        <v>350</v>
      </c>
      <c r="P88" s="203" t="s">
        <v>304</v>
      </c>
      <c r="Q88" s="203" t="s">
        <v>276</v>
      </c>
    </row>
    <row r="89" spans="1:17" s="204" customFormat="1">
      <c r="A89" s="13">
        <v>89</v>
      </c>
      <c r="B89" s="202" t="s">
        <v>872</v>
      </c>
      <c r="C89" s="202" t="s">
        <v>873</v>
      </c>
      <c r="D89" s="202" t="s">
        <v>874</v>
      </c>
      <c r="E89" s="202" t="s">
        <v>875</v>
      </c>
      <c r="F89" s="222">
        <f t="shared" si="8"/>
        <v>12</v>
      </c>
      <c r="G89" s="223" t="str">
        <f t="shared" si="9"/>
        <v>7</v>
      </c>
      <c r="H89" s="224">
        <f t="shared" si="10"/>
        <v>7</v>
      </c>
      <c r="I89" s="223" t="str">
        <f t="shared" si="11"/>
        <v>30 min.</v>
      </c>
      <c r="J89" s="223" t="str">
        <f t="shared" si="12"/>
        <v>30</v>
      </c>
      <c r="K89" s="224">
        <f t="shared" si="13"/>
        <v>30</v>
      </c>
      <c r="L89" s="223" t="str">
        <f t="shared" si="14"/>
        <v>7:30</v>
      </c>
      <c r="M89" s="225">
        <f t="shared" si="15"/>
        <v>0.3125</v>
      </c>
      <c r="N89" s="203" t="s">
        <v>438</v>
      </c>
      <c r="O89" s="202" t="s">
        <v>274</v>
      </c>
      <c r="P89" s="203" t="s">
        <v>304</v>
      </c>
      <c r="Q89" s="203" t="s">
        <v>276</v>
      </c>
    </row>
    <row r="90" spans="1:17" s="204" customFormat="1">
      <c r="A90" s="13">
        <v>90</v>
      </c>
      <c r="B90" s="202" t="s">
        <v>876</v>
      </c>
      <c r="C90" s="202" t="s">
        <v>877</v>
      </c>
      <c r="D90" s="202" t="s">
        <v>878</v>
      </c>
      <c r="E90" s="202" t="s">
        <v>879</v>
      </c>
      <c r="F90" s="222">
        <f t="shared" si="8"/>
        <v>12</v>
      </c>
      <c r="G90" s="223" t="str">
        <f t="shared" si="9"/>
        <v>4</v>
      </c>
      <c r="H90" s="224">
        <f t="shared" si="10"/>
        <v>4</v>
      </c>
      <c r="I90" s="223" t="str">
        <f t="shared" si="11"/>
        <v>55 min.</v>
      </c>
      <c r="J90" s="223" t="str">
        <f t="shared" si="12"/>
        <v>55</v>
      </c>
      <c r="K90" s="224">
        <f t="shared" si="13"/>
        <v>55</v>
      </c>
      <c r="L90" s="223" t="str">
        <f t="shared" si="14"/>
        <v>4:55</v>
      </c>
      <c r="M90" s="225">
        <f t="shared" si="15"/>
        <v>0.20486111111111113</v>
      </c>
      <c r="N90" s="203" t="s">
        <v>880</v>
      </c>
      <c r="O90" s="202" t="s">
        <v>303</v>
      </c>
      <c r="P90" s="203" t="s">
        <v>304</v>
      </c>
      <c r="Q90" s="203" t="s">
        <v>276</v>
      </c>
    </row>
    <row r="91" spans="1:17" s="204" customFormat="1">
      <c r="A91" s="13">
        <v>91</v>
      </c>
      <c r="B91" s="202" t="s">
        <v>881</v>
      </c>
      <c r="C91" s="202" t="s">
        <v>882</v>
      </c>
      <c r="D91" s="202" t="s">
        <v>883</v>
      </c>
      <c r="E91" s="202" t="s">
        <v>884</v>
      </c>
      <c r="F91" s="222">
        <f t="shared" si="8"/>
        <v>12</v>
      </c>
      <c r="G91" s="223" t="str">
        <f t="shared" si="9"/>
        <v>7</v>
      </c>
      <c r="H91" s="224">
        <f t="shared" si="10"/>
        <v>7</v>
      </c>
      <c r="I91" s="223" t="str">
        <f t="shared" si="11"/>
        <v>25 min.</v>
      </c>
      <c r="J91" s="223" t="str">
        <f t="shared" si="12"/>
        <v>25</v>
      </c>
      <c r="K91" s="224">
        <f t="shared" si="13"/>
        <v>25</v>
      </c>
      <c r="L91" s="223" t="str">
        <f t="shared" si="14"/>
        <v>7:25</v>
      </c>
      <c r="M91" s="225">
        <f t="shared" si="15"/>
        <v>0.30902777777777779</v>
      </c>
      <c r="N91" s="203" t="s">
        <v>505</v>
      </c>
      <c r="O91" s="202" t="s">
        <v>303</v>
      </c>
      <c r="P91" s="203" t="s">
        <v>304</v>
      </c>
      <c r="Q91" s="203" t="s">
        <v>276</v>
      </c>
    </row>
    <row r="92" spans="1:17" s="204" customFormat="1">
      <c r="A92" s="13">
        <v>92</v>
      </c>
      <c r="B92" s="202" t="s">
        <v>885</v>
      </c>
      <c r="C92" s="202" t="s">
        <v>886</v>
      </c>
      <c r="D92" s="202" t="s">
        <v>887</v>
      </c>
      <c r="E92" s="202" t="s">
        <v>888</v>
      </c>
      <c r="F92" s="222">
        <f t="shared" si="8"/>
        <v>12</v>
      </c>
      <c r="G92" s="223" t="str">
        <f t="shared" si="9"/>
        <v>3</v>
      </c>
      <c r="H92" s="224">
        <f t="shared" si="10"/>
        <v>3</v>
      </c>
      <c r="I92" s="223" t="str">
        <f t="shared" si="11"/>
        <v>40 min.</v>
      </c>
      <c r="J92" s="223" t="str">
        <f t="shared" si="12"/>
        <v>40</v>
      </c>
      <c r="K92" s="224">
        <f t="shared" si="13"/>
        <v>40</v>
      </c>
      <c r="L92" s="223" t="str">
        <f t="shared" si="14"/>
        <v>3:40</v>
      </c>
      <c r="M92" s="225">
        <f t="shared" si="15"/>
        <v>0.15277777777777776</v>
      </c>
      <c r="N92" s="203" t="s">
        <v>407</v>
      </c>
      <c r="O92" s="202" t="s">
        <v>303</v>
      </c>
      <c r="P92" s="203" t="s">
        <v>304</v>
      </c>
      <c r="Q92" s="203" t="s">
        <v>276</v>
      </c>
    </row>
    <row r="93" spans="1:17" s="204" customFormat="1">
      <c r="A93" s="13">
        <v>93</v>
      </c>
      <c r="B93" s="202" t="s">
        <v>889</v>
      </c>
      <c r="C93" s="202" t="s">
        <v>890</v>
      </c>
      <c r="D93" s="202" t="s">
        <v>891</v>
      </c>
      <c r="E93" s="202" t="s">
        <v>892</v>
      </c>
      <c r="F93" s="222">
        <f t="shared" si="8"/>
        <v>12</v>
      </c>
      <c r="G93" s="223" t="str">
        <f t="shared" si="9"/>
        <v>9</v>
      </c>
      <c r="H93" s="224">
        <f t="shared" si="10"/>
        <v>9</v>
      </c>
      <c r="I93" s="223" t="str">
        <f t="shared" si="11"/>
        <v>18 min.</v>
      </c>
      <c r="J93" s="223" t="str">
        <f t="shared" si="12"/>
        <v>18</v>
      </c>
      <c r="K93" s="224">
        <f t="shared" si="13"/>
        <v>18</v>
      </c>
      <c r="L93" s="223" t="str">
        <f t="shared" si="14"/>
        <v>9:18</v>
      </c>
      <c r="M93" s="225">
        <f t="shared" si="15"/>
        <v>0.38750000000000001</v>
      </c>
      <c r="N93" s="203" t="s">
        <v>893</v>
      </c>
      <c r="O93" s="202" t="s">
        <v>303</v>
      </c>
      <c r="P93" s="203" t="s">
        <v>304</v>
      </c>
      <c r="Q93" s="203" t="s">
        <v>276</v>
      </c>
    </row>
    <row r="94" spans="1:17" s="204" customFormat="1">
      <c r="A94" s="13">
        <v>94</v>
      </c>
      <c r="B94" s="202" t="s">
        <v>894</v>
      </c>
      <c r="C94" s="202" t="s">
        <v>895</v>
      </c>
      <c r="D94" s="202" t="s">
        <v>896</v>
      </c>
      <c r="E94" s="202" t="s">
        <v>897</v>
      </c>
      <c r="F94" s="222">
        <f t="shared" si="8"/>
        <v>12</v>
      </c>
      <c r="G94" s="223" t="str">
        <f t="shared" si="9"/>
        <v>7</v>
      </c>
      <c r="H94" s="224">
        <f t="shared" si="10"/>
        <v>7</v>
      </c>
      <c r="I94" s="223" t="str">
        <f t="shared" si="11"/>
        <v>39 min.</v>
      </c>
      <c r="J94" s="223" t="str">
        <f t="shared" si="12"/>
        <v>39</v>
      </c>
      <c r="K94" s="224">
        <f t="shared" si="13"/>
        <v>39</v>
      </c>
      <c r="L94" s="223" t="str">
        <f t="shared" si="14"/>
        <v>7:39</v>
      </c>
      <c r="M94" s="225">
        <f t="shared" si="15"/>
        <v>0.31875000000000003</v>
      </c>
      <c r="N94" s="203" t="s">
        <v>370</v>
      </c>
      <c r="O94" s="202" t="s">
        <v>303</v>
      </c>
      <c r="P94" s="203" t="s">
        <v>304</v>
      </c>
      <c r="Q94" s="203" t="s">
        <v>276</v>
      </c>
    </row>
    <row r="95" spans="1:17" s="204" customFormat="1">
      <c r="A95" s="13">
        <v>95</v>
      </c>
      <c r="B95" s="202" t="s">
        <v>898</v>
      </c>
      <c r="C95" s="202" t="s">
        <v>899</v>
      </c>
      <c r="D95" s="202" t="s">
        <v>900</v>
      </c>
      <c r="E95" s="202" t="s">
        <v>901</v>
      </c>
      <c r="F95" s="222">
        <f t="shared" si="8"/>
        <v>12</v>
      </c>
      <c r="G95" s="223" t="str">
        <f t="shared" si="9"/>
        <v>7</v>
      </c>
      <c r="H95" s="224">
        <f t="shared" si="10"/>
        <v>7</v>
      </c>
      <c r="I95" s="223" t="str">
        <f t="shared" si="11"/>
        <v>01 min.</v>
      </c>
      <c r="J95" s="223" t="str">
        <f t="shared" si="12"/>
        <v>01</v>
      </c>
      <c r="K95" s="224">
        <f t="shared" si="13"/>
        <v>1</v>
      </c>
      <c r="L95" s="223" t="str">
        <f t="shared" si="14"/>
        <v>7:1</v>
      </c>
      <c r="M95" s="225">
        <f t="shared" si="15"/>
        <v>0.29236111111111113</v>
      </c>
      <c r="N95" s="203" t="s">
        <v>418</v>
      </c>
      <c r="O95" s="202" t="s">
        <v>274</v>
      </c>
      <c r="P95" s="203" t="s">
        <v>304</v>
      </c>
      <c r="Q95" s="203" t="s">
        <v>276</v>
      </c>
    </row>
    <row r="96" spans="1:17" s="204" customFormat="1">
      <c r="A96" s="13">
        <v>96</v>
      </c>
      <c r="B96" s="202" t="s">
        <v>902</v>
      </c>
      <c r="C96" s="202" t="s">
        <v>903</v>
      </c>
      <c r="D96" s="202" t="s">
        <v>904</v>
      </c>
      <c r="E96" s="202" t="s">
        <v>422</v>
      </c>
      <c r="F96" s="222">
        <f t="shared" si="8"/>
        <v>12</v>
      </c>
      <c r="G96" s="223" t="str">
        <f t="shared" si="9"/>
        <v>8</v>
      </c>
      <c r="H96" s="224">
        <f t="shared" si="10"/>
        <v>8</v>
      </c>
      <c r="I96" s="223" t="str">
        <f t="shared" si="11"/>
        <v>53 min.</v>
      </c>
      <c r="J96" s="223" t="str">
        <f t="shared" si="12"/>
        <v>53</v>
      </c>
      <c r="K96" s="224">
        <f t="shared" si="13"/>
        <v>53</v>
      </c>
      <c r="L96" s="223" t="str">
        <f t="shared" si="14"/>
        <v>8:53</v>
      </c>
      <c r="M96" s="225">
        <f t="shared" si="15"/>
        <v>0.37013888888888885</v>
      </c>
      <c r="N96" s="203" t="s">
        <v>423</v>
      </c>
      <c r="O96" s="202" t="s">
        <v>303</v>
      </c>
      <c r="P96" s="203" t="s">
        <v>304</v>
      </c>
      <c r="Q96" s="203" t="s">
        <v>276</v>
      </c>
    </row>
    <row r="97" spans="1:17" s="204" customFormat="1">
      <c r="A97" s="13">
        <v>97</v>
      </c>
      <c r="B97" s="202" t="s">
        <v>915</v>
      </c>
      <c r="C97" s="202" t="s">
        <v>916</v>
      </c>
      <c r="D97" s="202" t="s">
        <v>917</v>
      </c>
      <c r="E97" s="202" t="s">
        <v>918</v>
      </c>
      <c r="F97" s="222">
        <f t="shared" si="8"/>
        <v>12</v>
      </c>
      <c r="G97" s="223" t="str">
        <f t="shared" si="9"/>
        <v>6</v>
      </c>
      <c r="H97" s="224">
        <f t="shared" si="10"/>
        <v>6</v>
      </c>
      <c r="I97" s="223" t="str">
        <f t="shared" si="11"/>
        <v>50 min.</v>
      </c>
      <c r="J97" s="223" t="str">
        <f t="shared" si="12"/>
        <v>50</v>
      </c>
      <c r="K97" s="224">
        <f t="shared" si="13"/>
        <v>50</v>
      </c>
      <c r="L97" s="223" t="str">
        <f t="shared" si="14"/>
        <v>6:50</v>
      </c>
      <c r="M97" s="225">
        <f t="shared" si="15"/>
        <v>0.28472222222222221</v>
      </c>
      <c r="N97" s="203" t="s">
        <v>919</v>
      </c>
      <c r="O97" s="202" t="s">
        <v>303</v>
      </c>
      <c r="P97" s="203" t="s">
        <v>304</v>
      </c>
      <c r="Q97" s="203" t="s">
        <v>276</v>
      </c>
    </row>
    <row r="98" spans="1:17" s="204" customFormat="1">
      <c r="A98" s="13">
        <v>98</v>
      </c>
      <c r="B98" s="202" t="s">
        <v>920</v>
      </c>
      <c r="C98" s="202" t="s">
        <v>921</v>
      </c>
      <c r="D98" s="202" t="s">
        <v>922</v>
      </c>
      <c r="E98" s="202" t="s">
        <v>923</v>
      </c>
      <c r="F98" s="222">
        <f t="shared" si="8"/>
        <v>12</v>
      </c>
      <c r="G98" s="223" t="str">
        <f t="shared" si="9"/>
        <v>9</v>
      </c>
      <c r="H98" s="224">
        <f t="shared" si="10"/>
        <v>9</v>
      </c>
      <c r="I98" s="223" t="str">
        <f t="shared" si="11"/>
        <v>39 min.</v>
      </c>
      <c r="J98" s="223" t="str">
        <f t="shared" si="12"/>
        <v>39</v>
      </c>
      <c r="K98" s="224">
        <f t="shared" si="13"/>
        <v>39</v>
      </c>
      <c r="L98" s="223" t="str">
        <f t="shared" si="14"/>
        <v>9:39</v>
      </c>
      <c r="M98" s="225">
        <f t="shared" si="15"/>
        <v>0.40208333333333335</v>
      </c>
      <c r="N98" s="203" t="s">
        <v>924</v>
      </c>
      <c r="O98" s="202" t="s">
        <v>303</v>
      </c>
      <c r="P98" s="203" t="s">
        <v>304</v>
      </c>
      <c r="Q98" s="203" t="s">
        <v>276</v>
      </c>
    </row>
    <row r="99" spans="1:17" s="204" customFormat="1">
      <c r="A99" s="13">
        <v>99</v>
      </c>
      <c r="B99" s="202" t="s">
        <v>925</v>
      </c>
      <c r="C99" s="202" t="s">
        <v>926</v>
      </c>
      <c r="D99" s="202" t="s">
        <v>927</v>
      </c>
      <c r="E99" s="202" t="s">
        <v>928</v>
      </c>
      <c r="F99" s="222">
        <f t="shared" si="8"/>
        <v>12</v>
      </c>
      <c r="G99" s="223" t="str">
        <f t="shared" si="9"/>
        <v>4</v>
      </c>
      <c r="H99" s="224">
        <f t="shared" si="10"/>
        <v>4</v>
      </c>
      <c r="I99" s="223" t="str">
        <f t="shared" si="11"/>
        <v>42 min.</v>
      </c>
      <c r="J99" s="223" t="str">
        <f t="shared" si="12"/>
        <v>42</v>
      </c>
      <c r="K99" s="224">
        <f t="shared" si="13"/>
        <v>42</v>
      </c>
      <c r="L99" s="223" t="str">
        <f t="shared" si="14"/>
        <v>4:42</v>
      </c>
      <c r="M99" s="225">
        <f t="shared" si="15"/>
        <v>0.19583333333333333</v>
      </c>
      <c r="N99" s="203" t="s">
        <v>531</v>
      </c>
      <c r="O99" s="202" t="s">
        <v>310</v>
      </c>
      <c r="P99" s="203" t="s">
        <v>304</v>
      </c>
      <c r="Q99" s="203" t="s">
        <v>276</v>
      </c>
    </row>
    <row r="100" spans="1:17" s="204" customFormat="1">
      <c r="A100" s="13">
        <v>100</v>
      </c>
      <c r="B100" s="202" t="s">
        <v>929</v>
      </c>
      <c r="C100" s="202" t="s">
        <v>930</v>
      </c>
      <c r="D100" s="202" t="s">
        <v>931</v>
      </c>
      <c r="E100" s="202" t="s">
        <v>932</v>
      </c>
      <c r="F100" s="222">
        <f t="shared" si="8"/>
        <v>12</v>
      </c>
      <c r="G100" s="223" t="str">
        <f t="shared" si="9"/>
        <v>3</v>
      </c>
      <c r="H100" s="224">
        <f t="shared" si="10"/>
        <v>3</v>
      </c>
      <c r="I100" s="223" t="str">
        <f t="shared" si="11"/>
        <v>44 min.</v>
      </c>
      <c r="J100" s="223" t="str">
        <f t="shared" si="12"/>
        <v>44</v>
      </c>
      <c r="K100" s="224">
        <f t="shared" si="13"/>
        <v>44</v>
      </c>
      <c r="L100" s="223" t="str">
        <f t="shared" si="14"/>
        <v>3:44</v>
      </c>
      <c r="M100" s="225">
        <f t="shared" si="15"/>
        <v>0.15555555555555556</v>
      </c>
      <c r="N100" s="203" t="s">
        <v>933</v>
      </c>
      <c r="O100" s="202" t="s">
        <v>292</v>
      </c>
      <c r="P100" s="203" t="s">
        <v>304</v>
      </c>
      <c r="Q100" s="203" t="s">
        <v>276</v>
      </c>
    </row>
    <row r="101" spans="1:17" s="204" customFormat="1">
      <c r="A101" s="13">
        <v>101</v>
      </c>
      <c r="B101" s="202" t="s">
        <v>934</v>
      </c>
      <c r="C101" s="202" t="s">
        <v>935</v>
      </c>
      <c r="D101" s="202" t="s">
        <v>936</v>
      </c>
      <c r="E101" s="202" t="s">
        <v>937</v>
      </c>
      <c r="F101" s="222">
        <f t="shared" si="8"/>
        <v>12</v>
      </c>
      <c r="G101" s="223" t="str">
        <f t="shared" si="9"/>
        <v>5</v>
      </c>
      <c r="H101" s="224">
        <f t="shared" si="10"/>
        <v>5</v>
      </c>
      <c r="I101" s="223" t="str">
        <f t="shared" si="11"/>
        <v>58 min.</v>
      </c>
      <c r="J101" s="223" t="str">
        <f t="shared" si="12"/>
        <v>58</v>
      </c>
      <c r="K101" s="224">
        <f t="shared" si="13"/>
        <v>58</v>
      </c>
      <c r="L101" s="223" t="str">
        <f t="shared" si="14"/>
        <v>5:58</v>
      </c>
      <c r="M101" s="225">
        <f t="shared" si="15"/>
        <v>0.24861111111111112</v>
      </c>
      <c r="N101" s="203" t="s">
        <v>643</v>
      </c>
      <c r="O101" s="202" t="s">
        <v>303</v>
      </c>
      <c r="P101" s="203" t="s">
        <v>304</v>
      </c>
      <c r="Q101" s="203" t="s">
        <v>276</v>
      </c>
    </row>
    <row r="102" spans="1:17" s="204" customFormat="1">
      <c r="A102" s="13">
        <v>102</v>
      </c>
      <c r="B102" s="202" t="s">
        <v>938</v>
      </c>
      <c r="C102" s="202" t="s">
        <v>939</v>
      </c>
      <c r="D102" s="202" t="s">
        <v>940</v>
      </c>
      <c r="E102" s="202" t="s">
        <v>685</v>
      </c>
      <c r="F102" s="222">
        <f t="shared" si="8"/>
        <v>12</v>
      </c>
      <c r="G102" s="223" t="str">
        <f t="shared" si="9"/>
        <v>4</v>
      </c>
      <c r="H102" s="224">
        <f t="shared" si="10"/>
        <v>4</v>
      </c>
      <c r="I102" s="223" t="str">
        <f t="shared" si="11"/>
        <v>09 min.</v>
      </c>
      <c r="J102" s="223" t="str">
        <f t="shared" si="12"/>
        <v>09</v>
      </c>
      <c r="K102" s="224">
        <f t="shared" si="13"/>
        <v>9</v>
      </c>
      <c r="L102" s="223" t="str">
        <f t="shared" si="14"/>
        <v>4:9</v>
      </c>
      <c r="M102" s="225">
        <f t="shared" si="15"/>
        <v>0.17291666666666669</v>
      </c>
      <c r="N102" s="203" t="s">
        <v>941</v>
      </c>
      <c r="O102" s="202" t="s">
        <v>321</v>
      </c>
      <c r="P102" s="203" t="s">
        <v>304</v>
      </c>
      <c r="Q102" s="203" t="s">
        <v>276</v>
      </c>
    </row>
    <row r="103" spans="1:17" s="204" customFormat="1">
      <c r="A103" s="13">
        <v>103</v>
      </c>
      <c r="B103" s="202" t="s">
        <v>942</v>
      </c>
      <c r="C103" s="202" t="s">
        <v>943</v>
      </c>
      <c r="D103" s="202" t="s">
        <v>944</v>
      </c>
      <c r="E103" s="202" t="s">
        <v>945</v>
      </c>
      <c r="F103" s="222">
        <f t="shared" si="8"/>
        <v>13</v>
      </c>
      <c r="G103" s="223" t="str">
        <f t="shared" si="9"/>
        <v>16</v>
      </c>
      <c r="H103" s="224">
        <f t="shared" si="10"/>
        <v>16</v>
      </c>
      <c r="I103" s="223" t="str">
        <f t="shared" si="11"/>
        <v>20 min.</v>
      </c>
      <c r="J103" s="223" t="str">
        <f t="shared" si="12"/>
        <v>20</v>
      </c>
      <c r="K103" s="224">
        <f t="shared" si="13"/>
        <v>20</v>
      </c>
      <c r="L103" s="223" t="str">
        <f t="shared" si="14"/>
        <v>16:20</v>
      </c>
      <c r="M103" s="225">
        <f t="shared" si="15"/>
        <v>0.68055555555555547</v>
      </c>
      <c r="N103" s="203" t="s">
        <v>486</v>
      </c>
      <c r="O103" s="202" t="s">
        <v>371</v>
      </c>
      <c r="P103" s="203" t="s">
        <v>304</v>
      </c>
      <c r="Q103" s="203" t="s">
        <v>276</v>
      </c>
    </row>
    <row r="104" spans="1:17" s="204" customFormat="1">
      <c r="A104" s="13">
        <v>104</v>
      </c>
      <c r="B104" s="202" t="s">
        <v>951</v>
      </c>
      <c r="C104" s="202" t="s">
        <v>952</v>
      </c>
      <c r="D104" s="202" t="s">
        <v>953</v>
      </c>
      <c r="E104" s="202" t="s">
        <v>954</v>
      </c>
      <c r="F104" s="222">
        <f t="shared" si="8"/>
        <v>12</v>
      </c>
      <c r="G104" s="223" t="str">
        <f t="shared" si="9"/>
        <v>4</v>
      </c>
      <c r="H104" s="224">
        <f t="shared" si="10"/>
        <v>4</v>
      </c>
      <c r="I104" s="223" t="str">
        <f t="shared" si="11"/>
        <v>58 min.</v>
      </c>
      <c r="J104" s="223" t="str">
        <f t="shared" si="12"/>
        <v>58</v>
      </c>
      <c r="K104" s="224">
        <f t="shared" si="13"/>
        <v>58</v>
      </c>
      <c r="L104" s="223" t="str">
        <f t="shared" si="14"/>
        <v>4:58</v>
      </c>
      <c r="M104" s="225">
        <f t="shared" si="15"/>
        <v>0.20694444444444446</v>
      </c>
      <c r="N104" s="203" t="s">
        <v>955</v>
      </c>
      <c r="O104" s="202" t="s">
        <v>303</v>
      </c>
      <c r="P104" s="203" t="s">
        <v>304</v>
      </c>
      <c r="Q104" s="203" t="s">
        <v>276</v>
      </c>
    </row>
    <row r="105" spans="1:17" s="204" customFormat="1">
      <c r="A105" s="13">
        <v>105</v>
      </c>
      <c r="B105" s="202" t="s">
        <v>956</v>
      </c>
      <c r="C105" s="202" t="s">
        <v>957</v>
      </c>
      <c r="D105" s="202" t="s">
        <v>958</v>
      </c>
      <c r="E105" s="202" t="s">
        <v>901</v>
      </c>
      <c r="F105" s="222">
        <f t="shared" si="8"/>
        <v>12</v>
      </c>
      <c r="G105" s="223" t="str">
        <f t="shared" si="9"/>
        <v>7</v>
      </c>
      <c r="H105" s="224">
        <f t="shared" si="10"/>
        <v>7</v>
      </c>
      <c r="I105" s="223" t="str">
        <f t="shared" si="11"/>
        <v>01 min.</v>
      </c>
      <c r="J105" s="223" t="str">
        <f t="shared" si="12"/>
        <v>01</v>
      </c>
      <c r="K105" s="224">
        <f t="shared" si="13"/>
        <v>1</v>
      </c>
      <c r="L105" s="223" t="str">
        <f t="shared" si="14"/>
        <v>7:1</v>
      </c>
      <c r="M105" s="225">
        <f t="shared" si="15"/>
        <v>0.29236111111111113</v>
      </c>
      <c r="N105" s="203" t="s">
        <v>959</v>
      </c>
      <c r="O105" s="202" t="s">
        <v>303</v>
      </c>
      <c r="P105" s="203" t="s">
        <v>304</v>
      </c>
      <c r="Q105" s="203" t="s">
        <v>276</v>
      </c>
    </row>
    <row r="106" spans="1:17" s="204" customFormat="1">
      <c r="A106" s="13">
        <v>106</v>
      </c>
      <c r="B106" s="202" t="s">
        <v>960</v>
      </c>
      <c r="C106" s="202" t="s">
        <v>961</v>
      </c>
      <c r="D106" s="202" t="s">
        <v>962</v>
      </c>
      <c r="E106" s="202" t="s">
        <v>963</v>
      </c>
      <c r="F106" s="222">
        <f t="shared" si="8"/>
        <v>13</v>
      </c>
      <c r="G106" s="223" t="str">
        <f t="shared" si="9"/>
        <v>11</v>
      </c>
      <c r="H106" s="224">
        <f t="shared" si="10"/>
        <v>11</v>
      </c>
      <c r="I106" s="223" t="str">
        <f t="shared" si="11"/>
        <v>29 min.</v>
      </c>
      <c r="J106" s="223" t="str">
        <f t="shared" si="12"/>
        <v>29</v>
      </c>
      <c r="K106" s="224">
        <f t="shared" si="13"/>
        <v>29</v>
      </c>
      <c r="L106" s="223" t="str">
        <f t="shared" si="14"/>
        <v>11:29</v>
      </c>
      <c r="M106" s="225">
        <f t="shared" si="15"/>
        <v>0.47847222222222219</v>
      </c>
      <c r="N106" s="203" t="s">
        <v>964</v>
      </c>
      <c r="O106" s="202" t="s">
        <v>286</v>
      </c>
      <c r="P106" s="203" t="s">
        <v>304</v>
      </c>
      <c r="Q106" s="203" t="s">
        <v>276</v>
      </c>
    </row>
    <row r="107" spans="1:17" s="204" customFormat="1">
      <c r="A107" s="13">
        <v>107</v>
      </c>
      <c r="B107" s="202" t="s">
        <v>965</v>
      </c>
      <c r="C107" s="202" t="s">
        <v>966</v>
      </c>
      <c r="D107" s="202" t="s">
        <v>967</v>
      </c>
      <c r="E107" s="202" t="s">
        <v>711</v>
      </c>
      <c r="F107" s="222">
        <f t="shared" si="8"/>
        <v>12</v>
      </c>
      <c r="G107" s="223" t="str">
        <f t="shared" si="9"/>
        <v>4</v>
      </c>
      <c r="H107" s="224">
        <f t="shared" si="10"/>
        <v>4</v>
      </c>
      <c r="I107" s="223" t="str">
        <f t="shared" si="11"/>
        <v>08 min.</v>
      </c>
      <c r="J107" s="223" t="str">
        <f t="shared" si="12"/>
        <v>08</v>
      </c>
      <c r="K107" s="224">
        <f t="shared" si="13"/>
        <v>8</v>
      </c>
      <c r="L107" s="223" t="str">
        <f t="shared" si="14"/>
        <v>4:8</v>
      </c>
      <c r="M107" s="225">
        <f t="shared" si="15"/>
        <v>0.17222222222222225</v>
      </c>
      <c r="N107" s="203" t="s">
        <v>968</v>
      </c>
      <c r="O107" s="202" t="s">
        <v>343</v>
      </c>
      <c r="P107" s="203" t="s">
        <v>304</v>
      </c>
      <c r="Q107" s="203" t="s">
        <v>276</v>
      </c>
    </row>
    <row r="108" spans="1:17" s="204" customFormat="1">
      <c r="A108" s="13">
        <v>108</v>
      </c>
      <c r="B108" s="202" t="s">
        <v>969</v>
      </c>
      <c r="C108" s="202" t="s">
        <v>970</v>
      </c>
      <c r="D108" s="202" t="s">
        <v>971</v>
      </c>
      <c r="E108" s="202" t="s">
        <v>972</v>
      </c>
      <c r="F108" s="222">
        <f t="shared" si="8"/>
        <v>12</v>
      </c>
      <c r="G108" s="223" t="str">
        <f t="shared" si="9"/>
        <v>3</v>
      </c>
      <c r="H108" s="224">
        <f t="shared" si="10"/>
        <v>3</v>
      </c>
      <c r="I108" s="223" t="str">
        <f t="shared" si="11"/>
        <v>19 min.</v>
      </c>
      <c r="J108" s="223" t="str">
        <f t="shared" si="12"/>
        <v>19</v>
      </c>
      <c r="K108" s="224">
        <f t="shared" si="13"/>
        <v>19</v>
      </c>
      <c r="L108" s="223" t="str">
        <f t="shared" si="14"/>
        <v>3:19</v>
      </c>
      <c r="M108" s="225">
        <f t="shared" si="15"/>
        <v>0.13819444444444443</v>
      </c>
      <c r="N108" s="203" t="s">
        <v>643</v>
      </c>
      <c r="O108" s="202" t="s">
        <v>303</v>
      </c>
      <c r="P108" s="203" t="s">
        <v>304</v>
      </c>
      <c r="Q108" s="203" t="s">
        <v>276</v>
      </c>
    </row>
    <row r="109" spans="1:17" s="204" customFormat="1">
      <c r="A109" s="13">
        <v>109</v>
      </c>
      <c r="B109" s="202" t="s">
        <v>973</v>
      </c>
      <c r="C109" s="202" t="s">
        <v>974</v>
      </c>
      <c r="D109" s="202" t="s">
        <v>975</v>
      </c>
      <c r="E109" s="202" t="s">
        <v>976</v>
      </c>
      <c r="F109" s="222">
        <f t="shared" si="8"/>
        <v>12</v>
      </c>
      <c r="G109" s="223" t="str">
        <f t="shared" si="9"/>
        <v>2</v>
      </c>
      <c r="H109" s="224">
        <f t="shared" si="10"/>
        <v>2</v>
      </c>
      <c r="I109" s="223" t="str">
        <f t="shared" si="11"/>
        <v>02 min.</v>
      </c>
      <c r="J109" s="223" t="str">
        <f t="shared" si="12"/>
        <v>02</v>
      </c>
      <c r="K109" s="224">
        <f t="shared" si="13"/>
        <v>2</v>
      </c>
      <c r="L109" s="223" t="str">
        <f t="shared" si="14"/>
        <v>2:2</v>
      </c>
      <c r="M109" s="225">
        <f t="shared" si="15"/>
        <v>8.4722222222222213E-2</v>
      </c>
      <c r="N109" s="203" t="s">
        <v>526</v>
      </c>
      <c r="O109" s="202" t="s">
        <v>536</v>
      </c>
      <c r="P109" s="203" t="s">
        <v>304</v>
      </c>
      <c r="Q109" s="203" t="s">
        <v>276</v>
      </c>
    </row>
    <row r="110" spans="1:17" s="204" customFormat="1">
      <c r="A110" s="13">
        <v>110</v>
      </c>
      <c r="B110" s="202" t="s">
        <v>977</v>
      </c>
      <c r="C110" s="202" t="s">
        <v>978</v>
      </c>
      <c r="D110" s="202" t="s">
        <v>979</v>
      </c>
      <c r="E110" s="202" t="s">
        <v>980</v>
      </c>
      <c r="F110" s="222">
        <f t="shared" si="8"/>
        <v>12</v>
      </c>
      <c r="G110" s="223" t="str">
        <f t="shared" si="9"/>
        <v>6</v>
      </c>
      <c r="H110" s="224">
        <f t="shared" si="10"/>
        <v>6</v>
      </c>
      <c r="I110" s="223" t="str">
        <f t="shared" si="11"/>
        <v>36 min.</v>
      </c>
      <c r="J110" s="223" t="str">
        <f t="shared" si="12"/>
        <v>36</v>
      </c>
      <c r="K110" s="224">
        <f t="shared" si="13"/>
        <v>36</v>
      </c>
      <c r="L110" s="223" t="str">
        <f t="shared" si="14"/>
        <v>6:36</v>
      </c>
      <c r="M110" s="225">
        <f t="shared" si="15"/>
        <v>0.27499999999999997</v>
      </c>
      <c r="N110" s="203" t="s">
        <v>380</v>
      </c>
      <c r="O110" s="202" t="s">
        <v>303</v>
      </c>
      <c r="P110" s="203" t="s">
        <v>304</v>
      </c>
      <c r="Q110" s="203" t="s">
        <v>276</v>
      </c>
    </row>
    <row r="111" spans="1:17" s="204" customFormat="1">
      <c r="A111" s="13">
        <v>111</v>
      </c>
      <c r="B111" s="202" t="s">
        <v>985</v>
      </c>
      <c r="C111" s="202" t="s">
        <v>982</v>
      </c>
      <c r="D111" s="202" t="s">
        <v>986</v>
      </c>
      <c r="E111" s="202" t="s">
        <v>987</v>
      </c>
      <c r="F111" s="222">
        <f t="shared" si="8"/>
        <v>12</v>
      </c>
      <c r="G111" s="223" t="str">
        <f t="shared" si="9"/>
        <v>2</v>
      </c>
      <c r="H111" s="224">
        <f t="shared" si="10"/>
        <v>2</v>
      </c>
      <c r="I111" s="223" t="str">
        <f t="shared" si="11"/>
        <v>21 min.</v>
      </c>
      <c r="J111" s="223" t="str">
        <f t="shared" si="12"/>
        <v>21</v>
      </c>
      <c r="K111" s="224">
        <f t="shared" si="13"/>
        <v>21</v>
      </c>
      <c r="L111" s="223" t="str">
        <f t="shared" si="14"/>
        <v>2:21</v>
      </c>
      <c r="M111" s="225">
        <f t="shared" si="15"/>
        <v>9.7916666666666666E-2</v>
      </c>
      <c r="N111" s="203" t="s">
        <v>988</v>
      </c>
      <c r="O111" s="202" t="s">
        <v>310</v>
      </c>
      <c r="P111" s="203" t="s">
        <v>304</v>
      </c>
      <c r="Q111" s="203" t="s">
        <v>276</v>
      </c>
    </row>
    <row r="112" spans="1:17" s="204" customFormat="1">
      <c r="A112" s="13">
        <v>112</v>
      </c>
      <c r="B112" s="202" t="s">
        <v>989</v>
      </c>
      <c r="C112" s="202" t="s">
        <v>990</v>
      </c>
      <c r="D112" s="202" t="s">
        <v>991</v>
      </c>
      <c r="E112" s="202" t="s">
        <v>992</v>
      </c>
      <c r="F112" s="222">
        <f t="shared" si="8"/>
        <v>13</v>
      </c>
      <c r="G112" s="223" t="str">
        <f t="shared" si="9"/>
        <v>16</v>
      </c>
      <c r="H112" s="224">
        <f t="shared" si="10"/>
        <v>16</v>
      </c>
      <c r="I112" s="223" t="str">
        <f t="shared" si="11"/>
        <v>42 min.</v>
      </c>
      <c r="J112" s="223" t="str">
        <f t="shared" si="12"/>
        <v>42</v>
      </c>
      <c r="K112" s="224">
        <f t="shared" si="13"/>
        <v>42</v>
      </c>
      <c r="L112" s="223" t="str">
        <f t="shared" si="14"/>
        <v>16:42</v>
      </c>
      <c r="M112" s="225">
        <f t="shared" si="15"/>
        <v>0.6958333333333333</v>
      </c>
      <c r="N112" s="203" t="s">
        <v>438</v>
      </c>
      <c r="O112" s="202" t="s">
        <v>536</v>
      </c>
      <c r="P112" s="203" t="s">
        <v>304</v>
      </c>
      <c r="Q112" s="203" t="s">
        <v>276</v>
      </c>
    </row>
    <row r="113" spans="1:17" s="204" customFormat="1">
      <c r="A113" s="13">
        <v>113</v>
      </c>
      <c r="B113" s="202" t="s">
        <v>998</v>
      </c>
      <c r="C113" s="202" t="s">
        <v>999</v>
      </c>
      <c r="D113" s="202" t="s">
        <v>1000</v>
      </c>
      <c r="E113" s="202" t="s">
        <v>735</v>
      </c>
      <c r="F113" s="222">
        <f t="shared" si="8"/>
        <v>12</v>
      </c>
      <c r="G113" s="223" t="str">
        <f t="shared" si="9"/>
        <v>6</v>
      </c>
      <c r="H113" s="224">
        <f t="shared" si="10"/>
        <v>6</v>
      </c>
      <c r="I113" s="223" t="str">
        <f t="shared" si="11"/>
        <v>24 min.</v>
      </c>
      <c r="J113" s="223" t="str">
        <f t="shared" si="12"/>
        <v>24</v>
      </c>
      <c r="K113" s="224">
        <f t="shared" si="13"/>
        <v>24</v>
      </c>
      <c r="L113" s="223" t="str">
        <f t="shared" si="14"/>
        <v>6:24</v>
      </c>
      <c r="M113" s="225">
        <f t="shared" si="15"/>
        <v>0.26666666666666666</v>
      </c>
      <c r="N113" s="203" t="s">
        <v>1001</v>
      </c>
      <c r="O113" s="202" t="s">
        <v>292</v>
      </c>
      <c r="P113" s="203" t="s">
        <v>304</v>
      </c>
      <c r="Q113" s="203" t="s">
        <v>276</v>
      </c>
    </row>
    <row r="114" spans="1:17" s="204" customFormat="1">
      <c r="A114" s="13">
        <v>114</v>
      </c>
      <c r="B114" s="202" t="s">
        <v>1002</v>
      </c>
      <c r="C114" s="202" t="s">
        <v>1003</v>
      </c>
      <c r="D114" s="202" t="s">
        <v>1004</v>
      </c>
      <c r="E114" s="202" t="s">
        <v>1005</v>
      </c>
      <c r="F114" s="222">
        <f t="shared" si="8"/>
        <v>12</v>
      </c>
      <c r="G114" s="223" t="str">
        <f t="shared" si="9"/>
        <v>2</v>
      </c>
      <c r="H114" s="224">
        <f t="shared" si="10"/>
        <v>2</v>
      </c>
      <c r="I114" s="223" t="str">
        <f t="shared" si="11"/>
        <v>59 min.</v>
      </c>
      <c r="J114" s="223" t="str">
        <f t="shared" si="12"/>
        <v>59</v>
      </c>
      <c r="K114" s="224">
        <f t="shared" si="13"/>
        <v>59</v>
      </c>
      <c r="L114" s="223" t="str">
        <f t="shared" si="14"/>
        <v>2:59</v>
      </c>
      <c r="M114" s="225">
        <f t="shared" si="15"/>
        <v>0.12430555555555556</v>
      </c>
      <c r="N114" s="203" t="s">
        <v>1006</v>
      </c>
      <c r="O114" s="202" t="s">
        <v>350</v>
      </c>
      <c r="P114" s="203" t="s">
        <v>304</v>
      </c>
      <c r="Q114" s="203" t="s">
        <v>276</v>
      </c>
    </row>
    <row r="115" spans="1:17" s="204" customFormat="1">
      <c r="A115" s="13">
        <v>115</v>
      </c>
      <c r="B115" s="202" t="s">
        <v>1007</v>
      </c>
      <c r="C115" s="202" t="s">
        <v>1008</v>
      </c>
      <c r="D115" s="202" t="s">
        <v>1009</v>
      </c>
      <c r="E115" s="202" t="s">
        <v>2585</v>
      </c>
      <c r="F115" s="222">
        <f t="shared" si="8"/>
        <v>13</v>
      </c>
      <c r="G115" s="223" t="str">
        <f t="shared" si="9"/>
        <v>00</v>
      </c>
      <c r="H115" s="224">
        <f t="shared" si="10"/>
        <v>0</v>
      </c>
      <c r="I115" s="223" t="str">
        <f t="shared" si="11"/>
        <v>44 min.</v>
      </c>
      <c r="J115" s="223" t="str">
        <f t="shared" si="12"/>
        <v>44</v>
      </c>
      <c r="K115" s="224">
        <f t="shared" si="13"/>
        <v>44</v>
      </c>
      <c r="L115" s="223" t="str">
        <f t="shared" si="14"/>
        <v>0:44</v>
      </c>
      <c r="M115" s="225">
        <f t="shared" si="15"/>
        <v>3.0555555555555555E-2</v>
      </c>
      <c r="N115" s="203" t="s">
        <v>968</v>
      </c>
      <c r="O115" s="202" t="s">
        <v>315</v>
      </c>
      <c r="P115" s="203" t="s">
        <v>304</v>
      </c>
      <c r="Q115" s="203" t="s">
        <v>276</v>
      </c>
    </row>
    <row r="116" spans="1:17" s="204" customFormat="1">
      <c r="A116" s="13">
        <v>116</v>
      </c>
      <c r="B116" s="202" t="s">
        <v>1010</v>
      </c>
      <c r="C116" s="202" t="s">
        <v>1011</v>
      </c>
      <c r="D116" s="202" t="s">
        <v>1012</v>
      </c>
      <c r="E116" s="202" t="s">
        <v>1422</v>
      </c>
      <c r="F116" s="222">
        <f t="shared" si="8"/>
        <v>13</v>
      </c>
      <c r="G116" s="223" t="str">
        <f t="shared" si="9"/>
        <v>11</v>
      </c>
      <c r="H116" s="224">
        <f t="shared" si="10"/>
        <v>11</v>
      </c>
      <c r="I116" s="223" t="str">
        <f t="shared" si="11"/>
        <v>04 min.</v>
      </c>
      <c r="J116" s="223" t="str">
        <f t="shared" si="12"/>
        <v>04</v>
      </c>
      <c r="K116" s="224">
        <f t="shared" si="13"/>
        <v>4</v>
      </c>
      <c r="L116" s="223" t="str">
        <f t="shared" si="14"/>
        <v>11:4</v>
      </c>
      <c r="M116" s="225">
        <f t="shared" si="15"/>
        <v>0.46111111111111108</v>
      </c>
      <c r="N116" s="203" t="s">
        <v>1013</v>
      </c>
      <c r="O116" s="202" t="s">
        <v>303</v>
      </c>
      <c r="P116" s="203" t="s">
        <v>304</v>
      </c>
      <c r="Q116" s="203" t="s">
        <v>276</v>
      </c>
    </row>
    <row r="117" spans="1:17" s="204" customFormat="1">
      <c r="A117" s="13">
        <v>117</v>
      </c>
      <c r="B117" s="202" t="s">
        <v>1014</v>
      </c>
      <c r="C117" s="202" t="s">
        <v>1015</v>
      </c>
      <c r="D117" s="202" t="s">
        <v>1016</v>
      </c>
      <c r="E117" s="202" t="s">
        <v>1017</v>
      </c>
      <c r="F117" s="222">
        <f t="shared" ref="F117:F180" si="16">LEN(E117)</f>
        <v>12</v>
      </c>
      <c r="G117" s="223" t="str">
        <f t="shared" ref="G117:G180" si="17">IF(F117=12,LEFT(E117,1),LEFT(E117,2))</f>
        <v>3</v>
      </c>
      <c r="H117" s="224">
        <f t="shared" ref="H117:H180" si="18">VALUE(G117)</f>
        <v>3</v>
      </c>
      <c r="I117" s="223" t="str">
        <f t="shared" ref="I117:I180" si="19">RIGHT(E117,7)</f>
        <v>56 min.</v>
      </c>
      <c r="J117" s="223" t="str">
        <f t="shared" ref="J117:J180" si="20">LEFT(I117,2)</f>
        <v>56</v>
      </c>
      <c r="K117" s="224">
        <f t="shared" ref="K117:K180" si="21">VALUE(J117)</f>
        <v>56</v>
      </c>
      <c r="L117" s="223" t="str">
        <f t="shared" ref="L117:L180" si="22">H117&amp;":"&amp;K117</f>
        <v>3:56</v>
      </c>
      <c r="M117" s="225">
        <f t="shared" ref="M117:M180" si="23">VALUE(L117)</f>
        <v>0.16388888888888889</v>
      </c>
      <c r="N117" s="203" t="s">
        <v>449</v>
      </c>
      <c r="O117" s="202" t="s">
        <v>303</v>
      </c>
      <c r="P117" s="203" t="s">
        <v>304</v>
      </c>
      <c r="Q117" s="203" t="s">
        <v>276</v>
      </c>
    </row>
    <row r="118" spans="1:17" s="204" customFormat="1">
      <c r="A118" s="13">
        <v>118</v>
      </c>
      <c r="B118" s="202" t="s">
        <v>1018</v>
      </c>
      <c r="C118" s="202" t="s">
        <v>1019</v>
      </c>
      <c r="D118" s="202" t="s">
        <v>1020</v>
      </c>
      <c r="E118" s="202" t="s">
        <v>1021</v>
      </c>
      <c r="F118" s="222">
        <f t="shared" si="16"/>
        <v>12</v>
      </c>
      <c r="G118" s="223" t="str">
        <f t="shared" si="17"/>
        <v>5</v>
      </c>
      <c r="H118" s="224">
        <f t="shared" si="18"/>
        <v>5</v>
      </c>
      <c r="I118" s="223" t="str">
        <f t="shared" si="19"/>
        <v>27 min.</v>
      </c>
      <c r="J118" s="223" t="str">
        <f t="shared" si="20"/>
        <v>27</v>
      </c>
      <c r="K118" s="224">
        <f t="shared" si="21"/>
        <v>27</v>
      </c>
      <c r="L118" s="223" t="str">
        <f t="shared" si="22"/>
        <v>5:27</v>
      </c>
      <c r="M118" s="225">
        <f t="shared" si="23"/>
        <v>0.22708333333333333</v>
      </c>
      <c r="N118" s="203" t="s">
        <v>1022</v>
      </c>
      <c r="O118" s="202" t="s">
        <v>459</v>
      </c>
      <c r="P118" s="203" t="s">
        <v>304</v>
      </c>
      <c r="Q118" s="203" t="s">
        <v>276</v>
      </c>
    </row>
    <row r="119" spans="1:17" s="204" customFormat="1">
      <c r="A119" s="13">
        <v>119</v>
      </c>
      <c r="B119" s="202" t="s">
        <v>1023</v>
      </c>
      <c r="C119" s="202" t="s">
        <v>1024</v>
      </c>
      <c r="D119" s="202" t="s">
        <v>1025</v>
      </c>
      <c r="E119" s="202" t="s">
        <v>1026</v>
      </c>
      <c r="F119" s="222">
        <f t="shared" si="16"/>
        <v>12</v>
      </c>
      <c r="G119" s="223" t="str">
        <f t="shared" si="17"/>
        <v>6</v>
      </c>
      <c r="H119" s="224">
        <f t="shared" si="18"/>
        <v>6</v>
      </c>
      <c r="I119" s="223" t="str">
        <f t="shared" si="19"/>
        <v>12 min.</v>
      </c>
      <c r="J119" s="223" t="str">
        <f t="shared" si="20"/>
        <v>12</v>
      </c>
      <c r="K119" s="224">
        <f t="shared" si="21"/>
        <v>12</v>
      </c>
      <c r="L119" s="223" t="str">
        <f t="shared" si="22"/>
        <v>6:12</v>
      </c>
      <c r="M119" s="225">
        <f t="shared" si="23"/>
        <v>0.25833333333333336</v>
      </c>
      <c r="N119" s="203" t="s">
        <v>1027</v>
      </c>
      <c r="O119" s="202" t="s">
        <v>274</v>
      </c>
      <c r="P119" s="203" t="s">
        <v>304</v>
      </c>
      <c r="Q119" s="203" t="s">
        <v>276</v>
      </c>
    </row>
    <row r="120" spans="1:17" s="204" customFormat="1">
      <c r="A120" s="13">
        <v>120</v>
      </c>
      <c r="B120" s="202" t="s">
        <v>1032</v>
      </c>
      <c r="C120" s="202" t="s">
        <v>1033</v>
      </c>
      <c r="D120" s="202" t="s">
        <v>1034</v>
      </c>
      <c r="E120" s="202" t="s">
        <v>1035</v>
      </c>
      <c r="F120" s="222">
        <f t="shared" si="16"/>
        <v>13</v>
      </c>
      <c r="G120" s="223" t="str">
        <f t="shared" si="17"/>
        <v>12</v>
      </c>
      <c r="H120" s="224">
        <f t="shared" si="18"/>
        <v>12</v>
      </c>
      <c r="I120" s="223" t="str">
        <f t="shared" si="19"/>
        <v>57 min.</v>
      </c>
      <c r="J120" s="223" t="str">
        <f t="shared" si="20"/>
        <v>57</v>
      </c>
      <c r="K120" s="224">
        <f t="shared" si="21"/>
        <v>57</v>
      </c>
      <c r="L120" s="223" t="str">
        <f t="shared" si="22"/>
        <v>12:57</v>
      </c>
      <c r="M120" s="225">
        <f t="shared" si="23"/>
        <v>0.5395833333333333</v>
      </c>
      <c r="N120" s="203" t="s">
        <v>1027</v>
      </c>
      <c r="O120" s="202" t="s">
        <v>459</v>
      </c>
      <c r="P120" s="203" t="s">
        <v>304</v>
      </c>
      <c r="Q120" s="203" t="s">
        <v>276</v>
      </c>
    </row>
    <row r="121" spans="1:17" s="204" customFormat="1">
      <c r="A121" s="13">
        <v>121</v>
      </c>
      <c r="B121" s="202" t="s">
        <v>1036</v>
      </c>
      <c r="C121" s="202" t="s">
        <v>1037</v>
      </c>
      <c r="D121" s="202" t="s">
        <v>1038</v>
      </c>
      <c r="E121" s="202" t="s">
        <v>1039</v>
      </c>
      <c r="F121" s="222">
        <f t="shared" si="16"/>
        <v>12</v>
      </c>
      <c r="G121" s="223" t="str">
        <f t="shared" si="17"/>
        <v>8</v>
      </c>
      <c r="H121" s="224">
        <f t="shared" si="18"/>
        <v>8</v>
      </c>
      <c r="I121" s="223" t="str">
        <f t="shared" si="19"/>
        <v>35 min.</v>
      </c>
      <c r="J121" s="223" t="str">
        <f t="shared" si="20"/>
        <v>35</v>
      </c>
      <c r="K121" s="224">
        <f t="shared" si="21"/>
        <v>35</v>
      </c>
      <c r="L121" s="223" t="str">
        <f t="shared" si="22"/>
        <v>8:35</v>
      </c>
      <c r="M121" s="225">
        <f t="shared" si="23"/>
        <v>0.3576388888888889</v>
      </c>
      <c r="N121" s="203" t="s">
        <v>444</v>
      </c>
      <c r="O121" s="202" t="s">
        <v>439</v>
      </c>
      <c r="P121" s="203" t="s">
        <v>304</v>
      </c>
      <c r="Q121" s="203" t="s">
        <v>276</v>
      </c>
    </row>
    <row r="122" spans="1:17" s="204" customFormat="1">
      <c r="A122" s="13">
        <v>122</v>
      </c>
      <c r="B122" s="202" t="s">
        <v>1040</v>
      </c>
      <c r="C122" s="202" t="s">
        <v>1041</v>
      </c>
      <c r="D122" s="202" t="s">
        <v>1042</v>
      </c>
      <c r="E122" s="202" t="s">
        <v>2587</v>
      </c>
      <c r="F122" s="222">
        <f t="shared" si="16"/>
        <v>13</v>
      </c>
      <c r="G122" s="223" t="str">
        <f t="shared" si="17"/>
        <v>00</v>
      </c>
      <c r="H122" s="224">
        <f t="shared" si="18"/>
        <v>0</v>
      </c>
      <c r="I122" s="223" t="str">
        <f t="shared" si="19"/>
        <v>38 min.</v>
      </c>
      <c r="J122" s="223" t="str">
        <f t="shared" si="20"/>
        <v>38</v>
      </c>
      <c r="K122" s="224">
        <f t="shared" si="21"/>
        <v>38</v>
      </c>
      <c r="L122" s="223" t="str">
        <f t="shared" si="22"/>
        <v>0:38</v>
      </c>
      <c r="M122" s="225">
        <f t="shared" si="23"/>
        <v>2.6388888888888889E-2</v>
      </c>
      <c r="N122" s="203" t="s">
        <v>964</v>
      </c>
      <c r="O122" s="202" t="s">
        <v>292</v>
      </c>
      <c r="P122" s="203" t="s">
        <v>304</v>
      </c>
      <c r="Q122" s="203" t="s">
        <v>276</v>
      </c>
    </row>
    <row r="123" spans="1:17" s="204" customFormat="1">
      <c r="A123" s="13">
        <v>123</v>
      </c>
      <c r="B123" s="202" t="s">
        <v>1043</v>
      </c>
      <c r="C123" s="202" t="s">
        <v>1044</v>
      </c>
      <c r="D123" s="202" t="s">
        <v>1045</v>
      </c>
      <c r="E123" s="202" t="s">
        <v>2588</v>
      </c>
      <c r="F123" s="222">
        <f t="shared" si="16"/>
        <v>13</v>
      </c>
      <c r="G123" s="223" t="str">
        <f t="shared" si="17"/>
        <v>00</v>
      </c>
      <c r="H123" s="224">
        <f t="shared" si="18"/>
        <v>0</v>
      </c>
      <c r="I123" s="223" t="str">
        <f t="shared" si="19"/>
        <v>59 min.</v>
      </c>
      <c r="J123" s="223" t="str">
        <f t="shared" si="20"/>
        <v>59</v>
      </c>
      <c r="K123" s="224">
        <f t="shared" si="21"/>
        <v>59</v>
      </c>
      <c r="L123" s="223" t="str">
        <f t="shared" si="22"/>
        <v>0:59</v>
      </c>
      <c r="M123" s="225">
        <f t="shared" si="23"/>
        <v>4.0972222222222222E-2</v>
      </c>
      <c r="N123" s="203" t="s">
        <v>449</v>
      </c>
      <c r="O123" s="202" t="s">
        <v>292</v>
      </c>
      <c r="P123" s="203" t="s">
        <v>304</v>
      </c>
      <c r="Q123" s="203" t="s">
        <v>276</v>
      </c>
    </row>
    <row r="124" spans="1:17" s="204" customFormat="1">
      <c r="A124" s="13">
        <v>124</v>
      </c>
      <c r="B124" s="202" t="s">
        <v>1046</v>
      </c>
      <c r="C124" s="202" t="s">
        <v>1047</v>
      </c>
      <c r="D124" s="202" t="s">
        <v>1048</v>
      </c>
      <c r="E124" s="202" t="s">
        <v>1049</v>
      </c>
      <c r="F124" s="222">
        <f t="shared" si="16"/>
        <v>12</v>
      </c>
      <c r="G124" s="223" t="str">
        <f t="shared" si="17"/>
        <v>1</v>
      </c>
      <c r="H124" s="224">
        <f t="shared" si="18"/>
        <v>1</v>
      </c>
      <c r="I124" s="223" t="str">
        <f t="shared" si="19"/>
        <v>33 min.</v>
      </c>
      <c r="J124" s="223" t="str">
        <f t="shared" si="20"/>
        <v>33</v>
      </c>
      <c r="K124" s="224">
        <f t="shared" si="21"/>
        <v>33</v>
      </c>
      <c r="L124" s="223" t="str">
        <f t="shared" si="22"/>
        <v>1:33</v>
      </c>
      <c r="M124" s="225">
        <f t="shared" si="23"/>
        <v>6.458333333333334E-2</v>
      </c>
      <c r="N124" s="203" t="s">
        <v>919</v>
      </c>
      <c r="O124" s="202" t="s">
        <v>1050</v>
      </c>
      <c r="P124" s="203" t="s">
        <v>304</v>
      </c>
      <c r="Q124" s="203" t="s">
        <v>276</v>
      </c>
    </row>
    <row r="125" spans="1:17" s="204" customFormat="1">
      <c r="A125" s="13">
        <v>125</v>
      </c>
      <c r="B125" s="202" t="s">
        <v>1051</v>
      </c>
      <c r="C125" s="202" t="s">
        <v>1052</v>
      </c>
      <c r="D125" s="202" t="s">
        <v>1053</v>
      </c>
      <c r="E125" s="202" t="s">
        <v>1054</v>
      </c>
      <c r="F125" s="222">
        <f t="shared" si="16"/>
        <v>12</v>
      </c>
      <c r="G125" s="223" t="str">
        <f t="shared" si="17"/>
        <v>2</v>
      </c>
      <c r="H125" s="224">
        <f t="shared" si="18"/>
        <v>2</v>
      </c>
      <c r="I125" s="223" t="str">
        <f t="shared" si="19"/>
        <v>56 min.</v>
      </c>
      <c r="J125" s="223" t="str">
        <f t="shared" si="20"/>
        <v>56</v>
      </c>
      <c r="K125" s="224">
        <f t="shared" si="21"/>
        <v>56</v>
      </c>
      <c r="L125" s="223" t="str">
        <f t="shared" si="22"/>
        <v>2:56</v>
      </c>
      <c r="M125" s="225">
        <f t="shared" si="23"/>
        <v>0.12222222222222223</v>
      </c>
      <c r="N125" s="203" t="s">
        <v>521</v>
      </c>
      <c r="O125" s="202" t="s">
        <v>371</v>
      </c>
      <c r="P125" s="203" t="s">
        <v>304</v>
      </c>
      <c r="Q125" s="203" t="s">
        <v>276</v>
      </c>
    </row>
    <row r="126" spans="1:17" s="204" customFormat="1">
      <c r="A126" s="13">
        <v>126</v>
      </c>
      <c r="B126" s="202" t="s">
        <v>1058</v>
      </c>
      <c r="C126" s="202" t="s">
        <v>1059</v>
      </c>
      <c r="D126" s="202" t="s">
        <v>1060</v>
      </c>
      <c r="E126" s="202" t="s">
        <v>2579</v>
      </c>
      <c r="F126" s="222">
        <f t="shared" si="16"/>
        <v>12</v>
      </c>
      <c r="G126" s="223" t="str">
        <f t="shared" si="17"/>
        <v>2</v>
      </c>
      <c r="H126" s="224">
        <f t="shared" si="18"/>
        <v>2</v>
      </c>
      <c r="I126" s="223" t="str">
        <f t="shared" si="19"/>
        <v>00 min.</v>
      </c>
      <c r="J126" s="223" t="str">
        <f t="shared" si="20"/>
        <v>00</v>
      </c>
      <c r="K126" s="224">
        <f t="shared" si="21"/>
        <v>0</v>
      </c>
      <c r="L126" s="223" t="str">
        <f t="shared" si="22"/>
        <v>2:0</v>
      </c>
      <c r="M126" s="225">
        <f t="shared" si="23"/>
        <v>8.3333333333333329E-2</v>
      </c>
      <c r="N126" s="203" t="s">
        <v>1061</v>
      </c>
      <c r="O126" s="202" t="s">
        <v>670</v>
      </c>
      <c r="P126" s="203" t="s">
        <v>304</v>
      </c>
      <c r="Q126" s="203" t="s">
        <v>276</v>
      </c>
    </row>
    <row r="127" spans="1:17" s="204" customFormat="1">
      <c r="A127" s="13">
        <v>127</v>
      </c>
      <c r="B127" s="202" t="s">
        <v>1062</v>
      </c>
      <c r="C127" s="202" t="s">
        <v>1063</v>
      </c>
      <c r="D127" s="202" t="s">
        <v>1064</v>
      </c>
      <c r="E127" s="202" t="s">
        <v>1065</v>
      </c>
      <c r="F127" s="222">
        <f t="shared" si="16"/>
        <v>12</v>
      </c>
      <c r="G127" s="223" t="str">
        <f t="shared" si="17"/>
        <v>4</v>
      </c>
      <c r="H127" s="224">
        <f t="shared" si="18"/>
        <v>4</v>
      </c>
      <c r="I127" s="223" t="str">
        <f t="shared" si="19"/>
        <v>06 min.</v>
      </c>
      <c r="J127" s="223" t="str">
        <f t="shared" si="20"/>
        <v>06</v>
      </c>
      <c r="K127" s="224">
        <f t="shared" si="21"/>
        <v>6</v>
      </c>
      <c r="L127" s="223" t="str">
        <f t="shared" si="22"/>
        <v>4:6</v>
      </c>
      <c r="M127" s="225">
        <f t="shared" si="23"/>
        <v>0.17083333333333331</v>
      </c>
      <c r="N127" s="203" t="s">
        <v>521</v>
      </c>
      <c r="O127" s="202" t="s">
        <v>303</v>
      </c>
      <c r="P127" s="203" t="s">
        <v>304</v>
      </c>
      <c r="Q127" s="203" t="s">
        <v>276</v>
      </c>
    </row>
    <row r="128" spans="1:17" s="204" customFormat="1">
      <c r="A128" s="13">
        <v>128</v>
      </c>
      <c r="B128" s="202" t="s">
        <v>1075</v>
      </c>
      <c r="C128" s="202" t="s">
        <v>1076</v>
      </c>
      <c r="D128" s="202" t="s">
        <v>1077</v>
      </c>
      <c r="E128" s="202" t="s">
        <v>1078</v>
      </c>
      <c r="F128" s="222">
        <f t="shared" si="16"/>
        <v>12</v>
      </c>
      <c r="G128" s="223" t="str">
        <f t="shared" si="17"/>
        <v>6</v>
      </c>
      <c r="H128" s="224">
        <f t="shared" si="18"/>
        <v>6</v>
      </c>
      <c r="I128" s="223" t="str">
        <f t="shared" si="19"/>
        <v>39 min.</v>
      </c>
      <c r="J128" s="223" t="str">
        <f t="shared" si="20"/>
        <v>39</v>
      </c>
      <c r="K128" s="224">
        <f t="shared" si="21"/>
        <v>39</v>
      </c>
      <c r="L128" s="223" t="str">
        <f t="shared" si="22"/>
        <v>6:39</v>
      </c>
      <c r="M128" s="225">
        <f t="shared" si="23"/>
        <v>0.27708333333333335</v>
      </c>
      <c r="N128" s="203" t="s">
        <v>385</v>
      </c>
      <c r="O128" s="202" t="s">
        <v>506</v>
      </c>
      <c r="P128" s="203" t="s">
        <v>304</v>
      </c>
      <c r="Q128" s="203" t="s">
        <v>276</v>
      </c>
    </row>
    <row r="129" spans="1:17" s="204" customFormat="1">
      <c r="A129" s="13">
        <v>129</v>
      </c>
      <c r="B129" s="202" t="s">
        <v>1083</v>
      </c>
      <c r="C129" s="202" t="s">
        <v>1084</v>
      </c>
      <c r="D129" s="202" t="s">
        <v>1085</v>
      </c>
      <c r="E129" s="202" t="s">
        <v>1086</v>
      </c>
      <c r="F129" s="222">
        <f t="shared" si="16"/>
        <v>12</v>
      </c>
      <c r="G129" s="223" t="str">
        <f t="shared" si="17"/>
        <v>5</v>
      </c>
      <c r="H129" s="224">
        <f t="shared" si="18"/>
        <v>5</v>
      </c>
      <c r="I129" s="223" t="str">
        <f t="shared" si="19"/>
        <v>02 min.</v>
      </c>
      <c r="J129" s="223" t="str">
        <f t="shared" si="20"/>
        <v>02</v>
      </c>
      <c r="K129" s="224">
        <f t="shared" si="21"/>
        <v>2</v>
      </c>
      <c r="L129" s="223" t="str">
        <f t="shared" si="22"/>
        <v>5:2</v>
      </c>
      <c r="M129" s="225">
        <f t="shared" si="23"/>
        <v>0.20972222222222223</v>
      </c>
      <c r="N129" s="203" t="s">
        <v>1027</v>
      </c>
      <c r="O129" s="202" t="s">
        <v>303</v>
      </c>
      <c r="P129" s="203" t="s">
        <v>304</v>
      </c>
      <c r="Q129" s="203" t="s">
        <v>276</v>
      </c>
    </row>
    <row r="130" spans="1:17" s="204" customFormat="1">
      <c r="A130" s="13">
        <v>130</v>
      </c>
      <c r="B130" s="202" t="s">
        <v>1087</v>
      </c>
      <c r="C130" s="202" t="s">
        <v>1088</v>
      </c>
      <c r="D130" s="202" t="s">
        <v>1089</v>
      </c>
      <c r="E130" s="202" t="s">
        <v>1090</v>
      </c>
      <c r="F130" s="222">
        <f t="shared" si="16"/>
        <v>13</v>
      </c>
      <c r="G130" s="223" t="str">
        <f t="shared" si="17"/>
        <v>11</v>
      </c>
      <c r="H130" s="224">
        <f t="shared" si="18"/>
        <v>11</v>
      </c>
      <c r="I130" s="223" t="str">
        <f t="shared" si="19"/>
        <v>43 min.</v>
      </c>
      <c r="J130" s="223" t="str">
        <f t="shared" si="20"/>
        <v>43</v>
      </c>
      <c r="K130" s="224">
        <f t="shared" si="21"/>
        <v>43</v>
      </c>
      <c r="L130" s="223" t="str">
        <f t="shared" si="22"/>
        <v>11:43</v>
      </c>
      <c r="M130" s="225">
        <f t="shared" si="23"/>
        <v>0.48819444444444443</v>
      </c>
      <c r="N130" s="203" t="s">
        <v>1091</v>
      </c>
      <c r="O130" s="202" t="s">
        <v>303</v>
      </c>
      <c r="P130" s="203" t="s">
        <v>304</v>
      </c>
      <c r="Q130" s="203" t="s">
        <v>276</v>
      </c>
    </row>
    <row r="131" spans="1:17" s="204" customFormat="1">
      <c r="A131" s="13">
        <v>131</v>
      </c>
      <c r="B131" s="202" t="s">
        <v>1092</v>
      </c>
      <c r="C131" s="202" t="s">
        <v>1093</v>
      </c>
      <c r="D131" s="202" t="s">
        <v>1094</v>
      </c>
      <c r="E131" s="202" t="s">
        <v>1095</v>
      </c>
      <c r="F131" s="222">
        <f t="shared" si="16"/>
        <v>12</v>
      </c>
      <c r="G131" s="223" t="str">
        <f t="shared" si="17"/>
        <v>9</v>
      </c>
      <c r="H131" s="224">
        <f t="shared" si="18"/>
        <v>9</v>
      </c>
      <c r="I131" s="223" t="str">
        <f t="shared" si="19"/>
        <v>03 min.</v>
      </c>
      <c r="J131" s="223" t="str">
        <f t="shared" si="20"/>
        <v>03</v>
      </c>
      <c r="K131" s="224">
        <f t="shared" si="21"/>
        <v>3</v>
      </c>
      <c r="L131" s="223" t="str">
        <f t="shared" si="22"/>
        <v>9:3</v>
      </c>
      <c r="M131" s="225">
        <f t="shared" si="23"/>
        <v>0.37708333333333338</v>
      </c>
      <c r="N131" s="203" t="s">
        <v>428</v>
      </c>
      <c r="O131" s="202" t="s">
        <v>303</v>
      </c>
      <c r="P131" s="203" t="s">
        <v>304</v>
      </c>
      <c r="Q131" s="203" t="s">
        <v>276</v>
      </c>
    </row>
    <row r="132" spans="1:17" s="204" customFormat="1">
      <c r="A132" s="13">
        <v>132</v>
      </c>
      <c r="B132" s="202" t="s">
        <v>1096</v>
      </c>
      <c r="C132" s="202" t="s">
        <v>1097</v>
      </c>
      <c r="D132" s="202" t="s">
        <v>1098</v>
      </c>
      <c r="E132" s="202" t="s">
        <v>1099</v>
      </c>
      <c r="F132" s="222">
        <f t="shared" si="16"/>
        <v>12</v>
      </c>
      <c r="G132" s="223" t="str">
        <f t="shared" si="17"/>
        <v>2</v>
      </c>
      <c r="H132" s="224">
        <f t="shared" si="18"/>
        <v>2</v>
      </c>
      <c r="I132" s="223" t="str">
        <f t="shared" si="19"/>
        <v>46 min.</v>
      </c>
      <c r="J132" s="223" t="str">
        <f t="shared" si="20"/>
        <v>46</v>
      </c>
      <c r="K132" s="224">
        <f t="shared" si="21"/>
        <v>46</v>
      </c>
      <c r="L132" s="223" t="str">
        <f t="shared" si="22"/>
        <v>2:46</v>
      </c>
      <c r="M132" s="225">
        <f t="shared" si="23"/>
        <v>0.11527777777777777</v>
      </c>
      <c r="N132" s="203" t="s">
        <v>365</v>
      </c>
      <c r="O132" s="202" t="s">
        <v>303</v>
      </c>
      <c r="P132" s="203" t="s">
        <v>304</v>
      </c>
      <c r="Q132" s="203" t="s">
        <v>276</v>
      </c>
    </row>
    <row r="133" spans="1:17" s="204" customFormat="1">
      <c r="A133" s="13">
        <v>133</v>
      </c>
      <c r="B133" s="202" t="s">
        <v>1100</v>
      </c>
      <c r="C133" s="202" t="s">
        <v>1101</v>
      </c>
      <c r="D133" s="202" t="s">
        <v>1102</v>
      </c>
      <c r="E133" s="202" t="s">
        <v>2577</v>
      </c>
      <c r="F133" s="222">
        <f t="shared" si="16"/>
        <v>12</v>
      </c>
      <c r="G133" s="223" t="str">
        <f t="shared" si="17"/>
        <v>7</v>
      </c>
      <c r="H133" s="224">
        <f t="shared" si="18"/>
        <v>7</v>
      </c>
      <c r="I133" s="223" t="str">
        <f t="shared" si="19"/>
        <v>00 min.</v>
      </c>
      <c r="J133" s="223" t="str">
        <f t="shared" si="20"/>
        <v>00</v>
      </c>
      <c r="K133" s="224">
        <f t="shared" si="21"/>
        <v>0</v>
      </c>
      <c r="L133" s="223" t="str">
        <f t="shared" si="22"/>
        <v>7:0</v>
      </c>
      <c r="M133" s="225">
        <f t="shared" si="23"/>
        <v>0.29166666666666669</v>
      </c>
      <c r="N133" s="203" t="s">
        <v>433</v>
      </c>
      <c r="O133" s="202" t="s">
        <v>274</v>
      </c>
      <c r="P133" s="203" t="s">
        <v>304</v>
      </c>
      <c r="Q133" s="203" t="s">
        <v>276</v>
      </c>
    </row>
    <row r="134" spans="1:17" s="204" customFormat="1">
      <c r="A134" s="13">
        <v>134</v>
      </c>
      <c r="B134" s="202" t="s">
        <v>1103</v>
      </c>
      <c r="C134" s="202" t="s">
        <v>1104</v>
      </c>
      <c r="D134" s="202" t="s">
        <v>1105</v>
      </c>
      <c r="E134" s="202" t="s">
        <v>913</v>
      </c>
      <c r="F134" s="222">
        <f t="shared" si="16"/>
        <v>12</v>
      </c>
      <c r="G134" s="223" t="str">
        <f t="shared" si="17"/>
        <v>1</v>
      </c>
      <c r="H134" s="224">
        <f t="shared" si="18"/>
        <v>1</v>
      </c>
      <c r="I134" s="223" t="str">
        <f t="shared" si="19"/>
        <v>49 min.</v>
      </c>
      <c r="J134" s="223" t="str">
        <f t="shared" si="20"/>
        <v>49</v>
      </c>
      <c r="K134" s="224">
        <f t="shared" si="21"/>
        <v>49</v>
      </c>
      <c r="L134" s="223" t="str">
        <f t="shared" si="22"/>
        <v>1:49</v>
      </c>
      <c r="M134" s="225">
        <f t="shared" si="23"/>
        <v>7.5694444444444439E-2</v>
      </c>
      <c r="N134" s="203" t="s">
        <v>449</v>
      </c>
      <c r="O134" s="202" t="s">
        <v>350</v>
      </c>
      <c r="P134" s="203" t="s">
        <v>304</v>
      </c>
      <c r="Q134" s="203" t="s">
        <v>276</v>
      </c>
    </row>
    <row r="135" spans="1:17" s="204" customFormat="1">
      <c r="A135" s="13">
        <v>135</v>
      </c>
      <c r="B135" s="202" t="s">
        <v>1110</v>
      </c>
      <c r="C135" s="202" t="s">
        <v>1111</v>
      </c>
      <c r="D135" s="202" t="s">
        <v>1112</v>
      </c>
      <c r="E135" s="202" t="s">
        <v>1113</v>
      </c>
      <c r="F135" s="222">
        <f t="shared" si="16"/>
        <v>12</v>
      </c>
      <c r="G135" s="223" t="str">
        <f t="shared" si="17"/>
        <v>2</v>
      </c>
      <c r="H135" s="224">
        <f t="shared" si="18"/>
        <v>2</v>
      </c>
      <c r="I135" s="223" t="str">
        <f t="shared" si="19"/>
        <v>37 min.</v>
      </c>
      <c r="J135" s="223" t="str">
        <f t="shared" si="20"/>
        <v>37</v>
      </c>
      <c r="K135" s="224">
        <f t="shared" si="21"/>
        <v>37</v>
      </c>
      <c r="L135" s="223" t="str">
        <f t="shared" si="22"/>
        <v>2:37</v>
      </c>
      <c r="M135" s="225">
        <f t="shared" si="23"/>
        <v>0.10902777777777778</v>
      </c>
      <c r="N135" s="203" t="s">
        <v>444</v>
      </c>
      <c r="O135" s="202" t="s">
        <v>303</v>
      </c>
      <c r="P135" s="203" t="s">
        <v>304</v>
      </c>
      <c r="Q135" s="203" t="s">
        <v>276</v>
      </c>
    </row>
    <row r="136" spans="1:17" s="204" customFormat="1">
      <c r="A136" s="13">
        <v>136</v>
      </c>
      <c r="B136" s="202" t="s">
        <v>1162</v>
      </c>
      <c r="C136" s="202" t="s">
        <v>1163</v>
      </c>
      <c r="D136" s="202" t="s">
        <v>1164</v>
      </c>
      <c r="E136" s="202" t="s">
        <v>1165</v>
      </c>
      <c r="F136" s="222">
        <f t="shared" si="16"/>
        <v>12</v>
      </c>
      <c r="G136" s="223" t="str">
        <f t="shared" si="17"/>
        <v>4</v>
      </c>
      <c r="H136" s="224">
        <f t="shared" si="18"/>
        <v>4</v>
      </c>
      <c r="I136" s="223" t="str">
        <f t="shared" si="19"/>
        <v>39 min.</v>
      </c>
      <c r="J136" s="223" t="str">
        <f t="shared" si="20"/>
        <v>39</v>
      </c>
      <c r="K136" s="224">
        <f t="shared" si="21"/>
        <v>39</v>
      </c>
      <c r="L136" s="223" t="str">
        <f t="shared" si="22"/>
        <v>4:39</v>
      </c>
      <c r="M136" s="225">
        <f t="shared" si="23"/>
        <v>0.19375000000000001</v>
      </c>
      <c r="N136" s="203" t="s">
        <v>643</v>
      </c>
      <c r="O136" s="202" t="s">
        <v>310</v>
      </c>
      <c r="P136" s="203" t="s">
        <v>304</v>
      </c>
      <c r="Q136" s="203" t="s">
        <v>276</v>
      </c>
    </row>
    <row r="137" spans="1:17" s="204" customFormat="1">
      <c r="A137" s="13">
        <v>137</v>
      </c>
      <c r="B137" s="202" t="s">
        <v>1166</v>
      </c>
      <c r="C137" s="202" t="s">
        <v>1167</v>
      </c>
      <c r="D137" s="202" t="s">
        <v>1168</v>
      </c>
      <c r="E137" s="202" t="s">
        <v>1169</v>
      </c>
      <c r="F137" s="222">
        <f t="shared" si="16"/>
        <v>12</v>
      </c>
      <c r="G137" s="223" t="str">
        <f t="shared" si="17"/>
        <v>3</v>
      </c>
      <c r="H137" s="224">
        <f t="shared" si="18"/>
        <v>3</v>
      </c>
      <c r="I137" s="223" t="str">
        <f t="shared" si="19"/>
        <v>54 min.</v>
      </c>
      <c r="J137" s="223" t="str">
        <f t="shared" si="20"/>
        <v>54</v>
      </c>
      <c r="K137" s="224">
        <f t="shared" si="21"/>
        <v>54</v>
      </c>
      <c r="L137" s="223" t="str">
        <f t="shared" si="22"/>
        <v>3:54</v>
      </c>
      <c r="M137" s="225">
        <f t="shared" si="23"/>
        <v>0.16250000000000001</v>
      </c>
      <c r="N137" s="203" t="s">
        <v>505</v>
      </c>
      <c r="O137" s="202" t="s">
        <v>360</v>
      </c>
      <c r="P137" s="203" t="s">
        <v>304</v>
      </c>
      <c r="Q137" s="203" t="s">
        <v>276</v>
      </c>
    </row>
    <row r="138" spans="1:17" s="204" customFormat="1">
      <c r="A138" s="13">
        <v>138</v>
      </c>
      <c r="B138" s="202" t="s">
        <v>1170</v>
      </c>
      <c r="C138" s="202" t="s">
        <v>357</v>
      </c>
      <c r="D138" s="202" t="s">
        <v>1171</v>
      </c>
      <c r="E138" s="202" t="s">
        <v>1172</v>
      </c>
      <c r="F138" s="222">
        <f t="shared" si="16"/>
        <v>12</v>
      </c>
      <c r="G138" s="223" t="str">
        <f t="shared" si="17"/>
        <v>7</v>
      </c>
      <c r="H138" s="224">
        <f t="shared" si="18"/>
        <v>7</v>
      </c>
      <c r="I138" s="223" t="str">
        <f t="shared" si="19"/>
        <v>33 min.</v>
      </c>
      <c r="J138" s="223" t="str">
        <f t="shared" si="20"/>
        <v>33</v>
      </c>
      <c r="K138" s="224">
        <f t="shared" si="21"/>
        <v>33</v>
      </c>
      <c r="L138" s="223" t="str">
        <f t="shared" si="22"/>
        <v>7:33</v>
      </c>
      <c r="M138" s="225">
        <f t="shared" si="23"/>
        <v>0.31458333333333333</v>
      </c>
      <c r="N138" s="203" t="s">
        <v>418</v>
      </c>
      <c r="O138" s="202" t="s">
        <v>360</v>
      </c>
      <c r="P138" s="203" t="s">
        <v>304</v>
      </c>
      <c r="Q138" s="203" t="s">
        <v>276</v>
      </c>
    </row>
    <row r="139" spans="1:17" s="204" customFormat="1">
      <c r="A139" s="13">
        <v>139</v>
      </c>
      <c r="B139" s="202" t="s">
        <v>1173</v>
      </c>
      <c r="C139" s="202" t="s">
        <v>1174</v>
      </c>
      <c r="D139" s="202" t="s">
        <v>1175</v>
      </c>
      <c r="E139" s="202" t="s">
        <v>535</v>
      </c>
      <c r="F139" s="222">
        <f t="shared" si="16"/>
        <v>12</v>
      </c>
      <c r="G139" s="223" t="str">
        <f t="shared" si="17"/>
        <v>4</v>
      </c>
      <c r="H139" s="224">
        <f t="shared" si="18"/>
        <v>4</v>
      </c>
      <c r="I139" s="223" t="str">
        <f t="shared" si="19"/>
        <v>28 min.</v>
      </c>
      <c r="J139" s="223" t="str">
        <f t="shared" si="20"/>
        <v>28</v>
      </c>
      <c r="K139" s="224">
        <f t="shared" si="21"/>
        <v>28</v>
      </c>
      <c r="L139" s="223" t="str">
        <f t="shared" si="22"/>
        <v>4:28</v>
      </c>
      <c r="M139" s="225">
        <f t="shared" si="23"/>
        <v>0.18611111111111112</v>
      </c>
      <c r="N139" s="203" t="s">
        <v>1176</v>
      </c>
      <c r="O139" s="202" t="s">
        <v>303</v>
      </c>
      <c r="P139" s="203" t="s">
        <v>304</v>
      </c>
      <c r="Q139" s="203" t="s">
        <v>276</v>
      </c>
    </row>
    <row r="140" spans="1:17" s="204" customFormat="1">
      <c r="A140" s="13">
        <v>140</v>
      </c>
      <c r="B140" s="202" t="s">
        <v>1177</v>
      </c>
      <c r="C140" s="202" t="s">
        <v>1178</v>
      </c>
      <c r="D140" s="202" t="s">
        <v>1179</v>
      </c>
      <c r="E140" s="202" t="s">
        <v>674</v>
      </c>
      <c r="F140" s="222">
        <f t="shared" si="16"/>
        <v>12</v>
      </c>
      <c r="G140" s="223" t="str">
        <f t="shared" si="17"/>
        <v>4</v>
      </c>
      <c r="H140" s="224">
        <f t="shared" si="18"/>
        <v>4</v>
      </c>
      <c r="I140" s="223" t="str">
        <f t="shared" si="19"/>
        <v>27 min.</v>
      </c>
      <c r="J140" s="223" t="str">
        <f t="shared" si="20"/>
        <v>27</v>
      </c>
      <c r="K140" s="224">
        <f t="shared" si="21"/>
        <v>27</v>
      </c>
      <c r="L140" s="223" t="str">
        <f t="shared" si="22"/>
        <v>4:27</v>
      </c>
      <c r="M140" s="225">
        <f t="shared" si="23"/>
        <v>0.18541666666666667</v>
      </c>
      <c r="N140" s="203" t="s">
        <v>521</v>
      </c>
      <c r="O140" s="202" t="s">
        <v>303</v>
      </c>
      <c r="P140" s="203" t="s">
        <v>304</v>
      </c>
      <c r="Q140" s="203" t="s">
        <v>276</v>
      </c>
    </row>
    <row r="141" spans="1:17" s="204" customFormat="1">
      <c r="A141" s="13">
        <v>141</v>
      </c>
      <c r="B141" s="202" t="s">
        <v>1180</v>
      </c>
      <c r="C141" s="202" t="s">
        <v>1181</v>
      </c>
      <c r="D141" s="202" t="s">
        <v>1182</v>
      </c>
      <c r="E141" s="202" t="s">
        <v>1183</v>
      </c>
      <c r="F141" s="222">
        <f t="shared" si="16"/>
        <v>12</v>
      </c>
      <c r="G141" s="223" t="str">
        <f t="shared" si="17"/>
        <v>7</v>
      </c>
      <c r="H141" s="224">
        <f t="shared" si="18"/>
        <v>7</v>
      </c>
      <c r="I141" s="223" t="str">
        <f t="shared" si="19"/>
        <v>23 min.</v>
      </c>
      <c r="J141" s="223" t="str">
        <f t="shared" si="20"/>
        <v>23</v>
      </c>
      <c r="K141" s="224">
        <f t="shared" si="21"/>
        <v>23</v>
      </c>
      <c r="L141" s="223" t="str">
        <f t="shared" si="22"/>
        <v>7:23</v>
      </c>
      <c r="M141" s="225">
        <f t="shared" si="23"/>
        <v>0.30763888888888891</v>
      </c>
      <c r="N141" s="203" t="s">
        <v>1184</v>
      </c>
      <c r="O141" s="202" t="s">
        <v>274</v>
      </c>
      <c r="P141" s="203" t="s">
        <v>304</v>
      </c>
      <c r="Q141" s="203" t="s">
        <v>276</v>
      </c>
    </row>
    <row r="142" spans="1:17" s="204" customFormat="1">
      <c r="A142" s="13">
        <v>142</v>
      </c>
      <c r="B142" s="202" t="s">
        <v>1272</v>
      </c>
      <c r="C142" s="202" t="s">
        <v>1273</v>
      </c>
      <c r="D142" s="202" t="s">
        <v>1274</v>
      </c>
      <c r="E142" s="202" t="s">
        <v>1127</v>
      </c>
      <c r="F142" s="222">
        <f t="shared" si="16"/>
        <v>12</v>
      </c>
      <c r="G142" s="223" t="str">
        <f t="shared" si="17"/>
        <v>5</v>
      </c>
      <c r="H142" s="224">
        <f t="shared" si="18"/>
        <v>5</v>
      </c>
      <c r="I142" s="223" t="str">
        <f t="shared" si="19"/>
        <v>55 min.</v>
      </c>
      <c r="J142" s="223" t="str">
        <f t="shared" si="20"/>
        <v>55</v>
      </c>
      <c r="K142" s="224">
        <f t="shared" si="21"/>
        <v>55</v>
      </c>
      <c r="L142" s="223" t="str">
        <f t="shared" si="22"/>
        <v>5:55</v>
      </c>
      <c r="M142" s="225">
        <f t="shared" si="23"/>
        <v>0.24652777777777779</v>
      </c>
      <c r="N142" s="203" t="s">
        <v>816</v>
      </c>
      <c r="O142" s="202" t="s">
        <v>439</v>
      </c>
      <c r="P142" s="203" t="s">
        <v>304</v>
      </c>
      <c r="Q142" s="203" t="s">
        <v>276</v>
      </c>
    </row>
    <row r="143" spans="1:17" s="204" customFormat="1">
      <c r="A143" s="13">
        <v>143</v>
      </c>
      <c r="B143" s="202" t="s">
        <v>1275</v>
      </c>
      <c r="C143" s="202" t="s">
        <v>1276</v>
      </c>
      <c r="D143" s="202" t="s">
        <v>1277</v>
      </c>
      <c r="E143" s="202" t="s">
        <v>1278</v>
      </c>
      <c r="F143" s="222">
        <f t="shared" si="16"/>
        <v>12</v>
      </c>
      <c r="G143" s="223" t="str">
        <f t="shared" si="17"/>
        <v>4</v>
      </c>
      <c r="H143" s="224">
        <f t="shared" si="18"/>
        <v>4</v>
      </c>
      <c r="I143" s="223" t="str">
        <f t="shared" si="19"/>
        <v>19 min.</v>
      </c>
      <c r="J143" s="223" t="str">
        <f t="shared" si="20"/>
        <v>19</v>
      </c>
      <c r="K143" s="224">
        <f t="shared" si="21"/>
        <v>19</v>
      </c>
      <c r="L143" s="223" t="str">
        <f t="shared" si="22"/>
        <v>4:19</v>
      </c>
      <c r="M143" s="225">
        <f t="shared" si="23"/>
        <v>0.17986111111111111</v>
      </c>
      <c r="N143" s="203" t="s">
        <v>407</v>
      </c>
      <c r="O143" s="202" t="s">
        <v>303</v>
      </c>
      <c r="P143" s="203" t="s">
        <v>304</v>
      </c>
      <c r="Q143" s="203" t="s">
        <v>276</v>
      </c>
    </row>
    <row r="144" spans="1:17" s="204" customFormat="1">
      <c r="A144" s="13">
        <v>144</v>
      </c>
      <c r="B144" s="202" t="s">
        <v>1279</v>
      </c>
      <c r="C144" s="202" t="s">
        <v>1280</v>
      </c>
      <c r="D144" s="202" t="s">
        <v>1281</v>
      </c>
      <c r="E144" s="202" t="s">
        <v>1282</v>
      </c>
      <c r="F144" s="222">
        <f t="shared" si="16"/>
        <v>12</v>
      </c>
      <c r="G144" s="223" t="str">
        <f t="shared" si="17"/>
        <v>4</v>
      </c>
      <c r="H144" s="224">
        <f t="shared" si="18"/>
        <v>4</v>
      </c>
      <c r="I144" s="223" t="str">
        <f t="shared" si="19"/>
        <v>41 min.</v>
      </c>
      <c r="J144" s="223" t="str">
        <f t="shared" si="20"/>
        <v>41</v>
      </c>
      <c r="K144" s="224">
        <f t="shared" si="21"/>
        <v>41</v>
      </c>
      <c r="L144" s="223" t="str">
        <f t="shared" si="22"/>
        <v>4:41</v>
      </c>
      <c r="M144" s="225">
        <f t="shared" si="23"/>
        <v>0.19513888888888889</v>
      </c>
      <c r="N144" s="203" t="s">
        <v>968</v>
      </c>
      <c r="O144" s="202" t="s">
        <v>303</v>
      </c>
      <c r="P144" s="203" t="s">
        <v>304</v>
      </c>
      <c r="Q144" s="203" t="s">
        <v>276</v>
      </c>
    </row>
    <row r="145" spans="1:17" s="204" customFormat="1">
      <c r="A145" s="13">
        <v>145</v>
      </c>
      <c r="B145" s="202" t="s">
        <v>1370</v>
      </c>
      <c r="C145" s="202" t="s">
        <v>1371</v>
      </c>
      <c r="D145" s="202" t="s">
        <v>1372</v>
      </c>
      <c r="E145" s="202" t="s">
        <v>1373</v>
      </c>
      <c r="F145" s="222">
        <f t="shared" si="16"/>
        <v>12</v>
      </c>
      <c r="G145" s="223" t="str">
        <f t="shared" si="17"/>
        <v>8</v>
      </c>
      <c r="H145" s="224">
        <f t="shared" si="18"/>
        <v>8</v>
      </c>
      <c r="I145" s="223" t="str">
        <f t="shared" si="19"/>
        <v>28 min.</v>
      </c>
      <c r="J145" s="223" t="str">
        <f t="shared" si="20"/>
        <v>28</v>
      </c>
      <c r="K145" s="224">
        <f t="shared" si="21"/>
        <v>28</v>
      </c>
      <c r="L145" s="223" t="str">
        <f t="shared" si="22"/>
        <v>8:28</v>
      </c>
      <c r="M145" s="225">
        <f t="shared" si="23"/>
        <v>0.3527777777777778</v>
      </c>
      <c r="N145" s="203" t="s">
        <v>438</v>
      </c>
      <c r="O145" s="202" t="s">
        <v>303</v>
      </c>
      <c r="P145" s="203" t="s">
        <v>304</v>
      </c>
      <c r="Q145" s="203" t="s">
        <v>276</v>
      </c>
    </row>
    <row r="146" spans="1:17" s="204" customFormat="1">
      <c r="A146" s="13">
        <v>146</v>
      </c>
      <c r="B146" s="202" t="s">
        <v>1392</v>
      </c>
      <c r="C146" s="202" t="s">
        <v>1393</v>
      </c>
      <c r="D146" s="202" t="s">
        <v>1394</v>
      </c>
      <c r="E146" s="202" t="s">
        <v>1395</v>
      </c>
      <c r="F146" s="222">
        <f t="shared" si="16"/>
        <v>12</v>
      </c>
      <c r="G146" s="223" t="str">
        <f t="shared" si="17"/>
        <v>4</v>
      </c>
      <c r="H146" s="224">
        <f t="shared" si="18"/>
        <v>4</v>
      </c>
      <c r="I146" s="223" t="str">
        <f t="shared" si="19"/>
        <v>46 min.</v>
      </c>
      <c r="J146" s="223" t="str">
        <f t="shared" si="20"/>
        <v>46</v>
      </c>
      <c r="K146" s="224">
        <f t="shared" si="21"/>
        <v>46</v>
      </c>
      <c r="L146" s="223" t="str">
        <f t="shared" si="22"/>
        <v>4:46</v>
      </c>
      <c r="M146" s="225">
        <f t="shared" si="23"/>
        <v>0.1986111111111111</v>
      </c>
      <c r="N146" s="203" t="s">
        <v>1396</v>
      </c>
      <c r="O146" s="202" t="s">
        <v>303</v>
      </c>
      <c r="P146" s="203" t="s">
        <v>304</v>
      </c>
      <c r="Q146" s="203" t="s">
        <v>276</v>
      </c>
    </row>
    <row r="147" spans="1:17" s="204" customFormat="1">
      <c r="A147" s="13">
        <v>147</v>
      </c>
      <c r="B147" s="202" t="s">
        <v>1397</v>
      </c>
      <c r="C147" s="202" t="s">
        <v>1398</v>
      </c>
      <c r="D147" s="202" t="s">
        <v>1399</v>
      </c>
      <c r="E147" s="202" t="s">
        <v>1400</v>
      </c>
      <c r="F147" s="222">
        <f t="shared" si="16"/>
        <v>12</v>
      </c>
      <c r="G147" s="223" t="str">
        <f t="shared" si="17"/>
        <v>5</v>
      </c>
      <c r="H147" s="224">
        <f t="shared" si="18"/>
        <v>5</v>
      </c>
      <c r="I147" s="223" t="str">
        <f t="shared" si="19"/>
        <v>09 min.</v>
      </c>
      <c r="J147" s="223" t="str">
        <f t="shared" si="20"/>
        <v>09</v>
      </c>
      <c r="K147" s="224">
        <f t="shared" si="21"/>
        <v>9</v>
      </c>
      <c r="L147" s="223" t="str">
        <f t="shared" si="22"/>
        <v>5:9</v>
      </c>
      <c r="M147" s="225">
        <f t="shared" si="23"/>
        <v>0.21458333333333335</v>
      </c>
      <c r="N147" s="203" t="s">
        <v>933</v>
      </c>
      <c r="O147" s="202" t="s">
        <v>303</v>
      </c>
      <c r="P147" s="203" t="s">
        <v>304</v>
      </c>
      <c r="Q147" s="203" t="s">
        <v>276</v>
      </c>
    </row>
    <row r="148" spans="1:17" s="204" customFormat="1">
      <c r="A148" s="13">
        <v>148</v>
      </c>
      <c r="B148" s="202" t="s">
        <v>1458</v>
      </c>
      <c r="C148" s="202" t="s">
        <v>1459</v>
      </c>
      <c r="D148" s="202" t="s">
        <v>1460</v>
      </c>
      <c r="E148" s="202" t="s">
        <v>1461</v>
      </c>
      <c r="F148" s="222">
        <f t="shared" si="16"/>
        <v>12</v>
      </c>
      <c r="G148" s="223" t="str">
        <f t="shared" si="17"/>
        <v>1</v>
      </c>
      <c r="H148" s="224">
        <f t="shared" si="18"/>
        <v>1</v>
      </c>
      <c r="I148" s="223" t="str">
        <f t="shared" si="19"/>
        <v>42 min.</v>
      </c>
      <c r="J148" s="223" t="str">
        <f t="shared" si="20"/>
        <v>42</v>
      </c>
      <c r="K148" s="224">
        <f t="shared" si="21"/>
        <v>42</v>
      </c>
      <c r="L148" s="223" t="str">
        <f t="shared" si="22"/>
        <v>1:42</v>
      </c>
      <c r="M148" s="225">
        <f t="shared" si="23"/>
        <v>7.0833333333333331E-2</v>
      </c>
      <c r="N148" s="203" t="s">
        <v>1462</v>
      </c>
      <c r="O148" s="202" t="s">
        <v>459</v>
      </c>
      <c r="P148" s="203" t="s">
        <v>304</v>
      </c>
      <c r="Q148" s="203" t="s">
        <v>276</v>
      </c>
    </row>
    <row r="149" spans="1:17" s="204" customFormat="1">
      <c r="A149" s="13">
        <v>149</v>
      </c>
      <c r="B149" s="202" t="s">
        <v>1463</v>
      </c>
      <c r="C149" s="202" t="s">
        <v>1464</v>
      </c>
      <c r="D149" s="202" t="s">
        <v>1465</v>
      </c>
      <c r="E149" s="202" t="s">
        <v>1466</v>
      </c>
      <c r="F149" s="222">
        <f t="shared" si="16"/>
        <v>12</v>
      </c>
      <c r="G149" s="223" t="str">
        <f t="shared" si="17"/>
        <v>7</v>
      </c>
      <c r="H149" s="224">
        <f t="shared" si="18"/>
        <v>7</v>
      </c>
      <c r="I149" s="223" t="str">
        <f t="shared" si="19"/>
        <v>27 min.</v>
      </c>
      <c r="J149" s="223" t="str">
        <f t="shared" si="20"/>
        <v>27</v>
      </c>
      <c r="K149" s="224">
        <f t="shared" si="21"/>
        <v>27</v>
      </c>
      <c r="L149" s="223" t="str">
        <f t="shared" si="22"/>
        <v>7:27</v>
      </c>
      <c r="M149" s="225">
        <f t="shared" si="23"/>
        <v>0.31041666666666667</v>
      </c>
      <c r="N149" s="203" t="s">
        <v>893</v>
      </c>
      <c r="O149" s="202" t="s">
        <v>536</v>
      </c>
      <c r="P149" s="203" t="s">
        <v>304</v>
      </c>
      <c r="Q149" s="203" t="s">
        <v>276</v>
      </c>
    </row>
    <row r="150" spans="1:17" s="204" customFormat="1">
      <c r="A150" s="13">
        <v>150</v>
      </c>
      <c r="B150" s="202" t="s">
        <v>1467</v>
      </c>
      <c r="C150" s="202" t="s">
        <v>1468</v>
      </c>
      <c r="D150" s="202" t="s">
        <v>1469</v>
      </c>
      <c r="E150" s="202" t="s">
        <v>1470</v>
      </c>
      <c r="F150" s="222">
        <f t="shared" si="16"/>
        <v>12</v>
      </c>
      <c r="G150" s="223" t="str">
        <f t="shared" si="17"/>
        <v>8</v>
      </c>
      <c r="H150" s="224">
        <f t="shared" si="18"/>
        <v>8</v>
      </c>
      <c r="I150" s="223" t="str">
        <f t="shared" si="19"/>
        <v>26 min.</v>
      </c>
      <c r="J150" s="223" t="str">
        <f t="shared" si="20"/>
        <v>26</v>
      </c>
      <c r="K150" s="224">
        <f t="shared" si="21"/>
        <v>26</v>
      </c>
      <c r="L150" s="223" t="str">
        <f t="shared" si="22"/>
        <v>8:26</v>
      </c>
      <c r="M150" s="225">
        <f t="shared" si="23"/>
        <v>0.35138888888888892</v>
      </c>
      <c r="N150" s="203" t="s">
        <v>370</v>
      </c>
      <c r="O150" s="202" t="s">
        <v>303</v>
      </c>
      <c r="P150" s="203" t="s">
        <v>304</v>
      </c>
      <c r="Q150" s="203" t="s">
        <v>276</v>
      </c>
    </row>
    <row r="151" spans="1:17" s="204" customFormat="1">
      <c r="A151" s="13">
        <v>151</v>
      </c>
      <c r="B151" s="202" t="s">
        <v>1471</v>
      </c>
      <c r="C151" s="202" t="s">
        <v>1472</v>
      </c>
      <c r="D151" s="202" t="s">
        <v>1473</v>
      </c>
      <c r="E151" s="202" t="s">
        <v>1474</v>
      </c>
      <c r="F151" s="222">
        <f t="shared" si="16"/>
        <v>13</v>
      </c>
      <c r="G151" s="223" t="str">
        <f t="shared" si="17"/>
        <v>16</v>
      </c>
      <c r="H151" s="224">
        <f t="shared" si="18"/>
        <v>16</v>
      </c>
      <c r="I151" s="223" t="str">
        <f t="shared" si="19"/>
        <v>15 min.</v>
      </c>
      <c r="J151" s="223" t="str">
        <f t="shared" si="20"/>
        <v>15</v>
      </c>
      <c r="K151" s="224">
        <f t="shared" si="21"/>
        <v>15</v>
      </c>
      <c r="L151" s="223" t="str">
        <f t="shared" si="22"/>
        <v>16:15</v>
      </c>
      <c r="M151" s="225">
        <f t="shared" si="23"/>
        <v>0.67708333333333337</v>
      </c>
      <c r="N151" s="203" t="s">
        <v>1475</v>
      </c>
      <c r="O151" s="202" t="s">
        <v>274</v>
      </c>
      <c r="P151" s="203" t="s">
        <v>304</v>
      </c>
      <c r="Q151" s="203" t="s">
        <v>276</v>
      </c>
    </row>
    <row r="152" spans="1:17" s="204" customFormat="1">
      <c r="A152" s="13">
        <v>152</v>
      </c>
      <c r="B152" s="202" t="s">
        <v>1480</v>
      </c>
      <c r="C152" s="202" t="s">
        <v>1481</v>
      </c>
      <c r="D152" s="202" t="s">
        <v>1482</v>
      </c>
      <c r="E152" s="202" t="s">
        <v>1155</v>
      </c>
      <c r="F152" s="222">
        <f t="shared" si="16"/>
        <v>13</v>
      </c>
      <c r="G152" s="223" t="str">
        <f t="shared" si="17"/>
        <v>14</v>
      </c>
      <c r="H152" s="224">
        <f t="shared" si="18"/>
        <v>14</v>
      </c>
      <c r="I152" s="223" t="str">
        <f t="shared" si="19"/>
        <v>17 min.</v>
      </c>
      <c r="J152" s="223" t="str">
        <f t="shared" si="20"/>
        <v>17</v>
      </c>
      <c r="K152" s="224">
        <f t="shared" si="21"/>
        <v>17</v>
      </c>
      <c r="L152" s="223" t="str">
        <f t="shared" si="22"/>
        <v>14:17</v>
      </c>
      <c r="M152" s="225">
        <f t="shared" si="23"/>
        <v>0.59513888888888888</v>
      </c>
      <c r="N152" s="203" t="s">
        <v>531</v>
      </c>
      <c r="O152" s="202" t="s">
        <v>274</v>
      </c>
      <c r="P152" s="203" t="s">
        <v>304</v>
      </c>
      <c r="Q152" s="203" t="s">
        <v>276</v>
      </c>
    </row>
    <row r="153" spans="1:17" s="204" customFormat="1">
      <c r="A153" s="13">
        <v>153</v>
      </c>
      <c r="B153" s="202" t="s">
        <v>1483</v>
      </c>
      <c r="C153" s="202" t="s">
        <v>783</v>
      </c>
      <c r="D153" s="202" t="s">
        <v>1484</v>
      </c>
      <c r="E153" s="202" t="s">
        <v>1485</v>
      </c>
      <c r="F153" s="222">
        <f t="shared" si="16"/>
        <v>13</v>
      </c>
      <c r="G153" s="223" t="str">
        <f t="shared" si="17"/>
        <v>19</v>
      </c>
      <c r="H153" s="224">
        <f t="shared" si="18"/>
        <v>19</v>
      </c>
      <c r="I153" s="223" t="str">
        <f t="shared" si="19"/>
        <v>51 min.</v>
      </c>
      <c r="J153" s="223" t="str">
        <f t="shared" si="20"/>
        <v>51</v>
      </c>
      <c r="K153" s="224">
        <f t="shared" si="21"/>
        <v>51</v>
      </c>
      <c r="L153" s="223" t="str">
        <f t="shared" si="22"/>
        <v>19:51</v>
      </c>
      <c r="M153" s="225">
        <f t="shared" si="23"/>
        <v>0.82708333333333339</v>
      </c>
      <c r="N153" s="203" t="s">
        <v>438</v>
      </c>
      <c r="O153" s="202" t="s">
        <v>274</v>
      </c>
      <c r="P153" s="203" t="s">
        <v>304</v>
      </c>
      <c r="Q153" s="203" t="s">
        <v>276</v>
      </c>
    </row>
    <row r="154" spans="1:17" s="204" customFormat="1">
      <c r="A154" s="13">
        <v>154</v>
      </c>
      <c r="B154" s="202" t="s">
        <v>1486</v>
      </c>
      <c r="C154" s="202" t="s">
        <v>1487</v>
      </c>
      <c r="D154" s="202" t="s">
        <v>1488</v>
      </c>
      <c r="E154" s="202" t="s">
        <v>1489</v>
      </c>
      <c r="F154" s="222">
        <f t="shared" si="16"/>
        <v>12</v>
      </c>
      <c r="G154" s="223" t="str">
        <f t="shared" si="17"/>
        <v>3</v>
      </c>
      <c r="H154" s="224">
        <f t="shared" si="18"/>
        <v>3</v>
      </c>
      <c r="I154" s="223" t="str">
        <f t="shared" si="19"/>
        <v>17 min.</v>
      </c>
      <c r="J154" s="223" t="str">
        <f t="shared" si="20"/>
        <v>17</v>
      </c>
      <c r="K154" s="224">
        <f t="shared" si="21"/>
        <v>17</v>
      </c>
      <c r="L154" s="223" t="str">
        <f t="shared" si="22"/>
        <v>3:17</v>
      </c>
      <c r="M154" s="225">
        <f t="shared" si="23"/>
        <v>0.13680555555555554</v>
      </c>
      <c r="N154" s="203" t="s">
        <v>643</v>
      </c>
      <c r="O154" s="202" t="s">
        <v>303</v>
      </c>
      <c r="P154" s="203" t="s">
        <v>304</v>
      </c>
      <c r="Q154" s="203" t="s">
        <v>276</v>
      </c>
    </row>
    <row r="155" spans="1:17" s="204" customFormat="1">
      <c r="A155" s="13">
        <v>155</v>
      </c>
      <c r="B155" s="202" t="s">
        <v>1490</v>
      </c>
      <c r="C155" s="202" t="s">
        <v>1491</v>
      </c>
      <c r="D155" s="202" t="s">
        <v>1492</v>
      </c>
      <c r="E155" s="202" t="s">
        <v>2607</v>
      </c>
      <c r="F155" s="222">
        <f t="shared" si="16"/>
        <v>13</v>
      </c>
      <c r="G155" s="223" t="str">
        <f t="shared" si="17"/>
        <v>12</v>
      </c>
      <c r="H155" s="224">
        <f t="shared" si="18"/>
        <v>12</v>
      </c>
      <c r="I155" s="223" t="str">
        <f t="shared" si="19"/>
        <v>37 min.</v>
      </c>
      <c r="J155" s="223" t="str">
        <f t="shared" si="20"/>
        <v>37</v>
      </c>
      <c r="K155" s="224">
        <f t="shared" si="21"/>
        <v>37</v>
      </c>
      <c r="L155" s="223" t="str">
        <f t="shared" si="22"/>
        <v>12:37</v>
      </c>
      <c r="M155" s="225">
        <f t="shared" si="23"/>
        <v>0.52569444444444446</v>
      </c>
      <c r="N155" s="203" t="s">
        <v>968</v>
      </c>
      <c r="O155" s="202" t="s">
        <v>303</v>
      </c>
      <c r="P155" s="203" t="s">
        <v>304</v>
      </c>
      <c r="Q155" s="203" t="s">
        <v>276</v>
      </c>
    </row>
    <row r="156" spans="1:17" s="204" customFormat="1">
      <c r="A156" s="13">
        <v>156</v>
      </c>
      <c r="B156" s="202" t="s">
        <v>1497</v>
      </c>
      <c r="C156" s="202" t="s">
        <v>1498</v>
      </c>
      <c r="D156" s="202" t="s">
        <v>1499</v>
      </c>
      <c r="E156" s="202" t="s">
        <v>1500</v>
      </c>
      <c r="F156" s="222">
        <f t="shared" si="16"/>
        <v>12</v>
      </c>
      <c r="G156" s="223" t="str">
        <f t="shared" si="17"/>
        <v>3</v>
      </c>
      <c r="H156" s="224">
        <f t="shared" si="18"/>
        <v>3</v>
      </c>
      <c r="I156" s="223" t="str">
        <f t="shared" si="19"/>
        <v>58 min.</v>
      </c>
      <c r="J156" s="223" t="str">
        <f t="shared" si="20"/>
        <v>58</v>
      </c>
      <c r="K156" s="224">
        <f t="shared" si="21"/>
        <v>58</v>
      </c>
      <c r="L156" s="223" t="str">
        <f t="shared" si="22"/>
        <v>3:58</v>
      </c>
      <c r="M156" s="225">
        <f t="shared" si="23"/>
        <v>0.16527777777777777</v>
      </c>
      <c r="N156" s="203" t="s">
        <v>359</v>
      </c>
      <c r="O156" s="202" t="s">
        <v>303</v>
      </c>
      <c r="P156" s="203" t="s">
        <v>304</v>
      </c>
      <c r="Q156" s="203" t="s">
        <v>276</v>
      </c>
    </row>
    <row r="157" spans="1:17" s="204" customFormat="1">
      <c r="A157" s="13">
        <v>157</v>
      </c>
      <c r="B157" s="202" t="s">
        <v>1501</v>
      </c>
      <c r="C157" s="202" t="s">
        <v>1502</v>
      </c>
      <c r="D157" s="202" t="s">
        <v>1503</v>
      </c>
      <c r="E157" s="202" t="s">
        <v>1439</v>
      </c>
      <c r="F157" s="222">
        <f t="shared" si="16"/>
        <v>12</v>
      </c>
      <c r="G157" s="223" t="str">
        <f t="shared" si="17"/>
        <v>4</v>
      </c>
      <c r="H157" s="224">
        <f t="shared" si="18"/>
        <v>4</v>
      </c>
      <c r="I157" s="223" t="str">
        <f t="shared" si="19"/>
        <v>26 min.</v>
      </c>
      <c r="J157" s="223" t="str">
        <f t="shared" si="20"/>
        <v>26</v>
      </c>
      <c r="K157" s="224">
        <f t="shared" si="21"/>
        <v>26</v>
      </c>
      <c r="L157" s="223" t="str">
        <f t="shared" si="22"/>
        <v>4:26</v>
      </c>
      <c r="M157" s="225">
        <f t="shared" si="23"/>
        <v>0.18472222222222223</v>
      </c>
      <c r="N157" s="203" t="s">
        <v>924</v>
      </c>
      <c r="O157" s="202" t="s">
        <v>303</v>
      </c>
      <c r="P157" s="203" t="s">
        <v>304</v>
      </c>
      <c r="Q157" s="203" t="s">
        <v>276</v>
      </c>
    </row>
    <row r="158" spans="1:17" s="204" customFormat="1">
      <c r="A158" s="13">
        <v>158</v>
      </c>
      <c r="B158" s="202" t="s">
        <v>1504</v>
      </c>
      <c r="C158" s="202" t="s">
        <v>1505</v>
      </c>
      <c r="D158" s="202" t="s">
        <v>1506</v>
      </c>
      <c r="E158" s="202" t="s">
        <v>1507</v>
      </c>
      <c r="F158" s="222">
        <f t="shared" si="16"/>
        <v>12</v>
      </c>
      <c r="G158" s="223" t="str">
        <f t="shared" si="17"/>
        <v>3</v>
      </c>
      <c r="H158" s="224">
        <f t="shared" si="18"/>
        <v>3</v>
      </c>
      <c r="I158" s="223" t="str">
        <f t="shared" si="19"/>
        <v>41 min.</v>
      </c>
      <c r="J158" s="223" t="str">
        <f t="shared" si="20"/>
        <v>41</v>
      </c>
      <c r="K158" s="224">
        <f t="shared" si="21"/>
        <v>41</v>
      </c>
      <c r="L158" s="223" t="str">
        <f t="shared" si="22"/>
        <v>3:41</v>
      </c>
      <c r="M158" s="225">
        <f t="shared" si="23"/>
        <v>0.15347222222222223</v>
      </c>
      <c r="N158" s="203" t="s">
        <v>919</v>
      </c>
      <c r="O158" s="202" t="s">
        <v>303</v>
      </c>
      <c r="P158" s="203" t="s">
        <v>304</v>
      </c>
      <c r="Q158" s="203" t="s">
        <v>276</v>
      </c>
    </row>
    <row r="159" spans="1:17" s="204" customFormat="1">
      <c r="A159" s="13">
        <v>159</v>
      </c>
      <c r="B159" s="202" t="s">
        <v>1508</v>
      </c>
      <c r="C159" s="202" t="s">
        <v>1509</v>
      </c>
      <c r="D159" s="202" t="s">
        <v>1510</v>
      </c>
      <c r="E159" s="202" t="s">
        <v>809</v>
      </c>
      <c r="F159" s="222">
        <f t="shared" si="16"/>
        <v>12</v>
      </c>
      <c r="G159" s="223" t="str">
        <f t="shared" si="17"/>
        <v>2</v>
      </c>
      <c r="H159" s="224">
        <f t="shared" si="18"/>
        <v>2</v>
      </c>
      <c r="I159" s="223" t="str">
        <f t="shared" si="19"/>
        <v>11 min.</v>
      </c>
      <c r="J159" s="223" t="str">
        <f t="shared" si="20"/>
        <v>11</v>
      </c>
      <c r="K159" s="224">
        <f t="shared" si="21"/>
        <v>11</v>
      </c>
      <c r="L159" s="223" t="str">
        <f t="shared" si="22"/>
        <v>2:11</v>
      </c>
      <c r="M159" s="225">
        <f t="shared" si="23"/>
        <v>9.0972222222222218E-2</v>
      </c>
      <c r="N159" s="203" t="s">
        <v>643</v>
      </c>
      <c r="O159" s="202" t="s">
        <v>303</v>
      </c>
      <c r="P159" s="203" t="s">
        <v>304</v>
      </c>
      <c r="Q159" s="203" t="s">
        <v>276</v>
      </c>
    </row>
    <row r="160" spans="1:17" s="204" customFormat="1">
      <c r="A160" s="13">
        <v>160</v>
      </c>
      <c r="B160" s="202" t="s">
        <v>1511</v>
      </c>
      <c r="C160" s="202" t="s">
        <v>1512</v>
      </c>
      <c r="D160" s="202" t="s">
        <v>1513</v>
      </c>
      <c r="E160" s="202" t="s">
        <v>1456</v>
      </c>
      <c r="F160" s="222">
        <f t="shared" si="16"/>
        <v>12</v>
      </c>
      <c r="G160" s="223" t="str">
        <f t="shared" si="17"/>
        <v>7</v>
      </c>
      <c r="H160" s="224">
        <f t="shared" si="18"/>
        <v>7</v>
      </c>
      <c r="I160" s="223" t="str">
        <f t="shared" si="19"/>
        <v>05 min.</v>
      </c>
      <c r="J160" s="223" t="str">
        <f t="shared" si="20"/>
        <v>05</v>
      </c>
      <c r="K160" s="224">
        <f t="shared" si="21"/>
        <v>5</v>
      </c>
      <c r="L160" s="223" t="str">
        <f t="shared" si="22"/>
        <v>7:5</v>
      </c>
      <c r="M160" s="225">
        <f t="shared" si="23"/>
        <v>0.2951388888888889</v>
      </c>
      <c r="N160" s="203" t="s">
        <v>1514</v>
      </c>
      <c r="O160" s="202" t="s">
        <v>303</v>
      </c>
      <c r="P160" s="203" t="s">
        <v>304</v>
      </c>
      <c r="Q160" s="203" t="s">
        <v>276</v>
      </c>
    </row>
    <row r="161" spans="1:17" s="204" customFormat="1">
      <c r="A161" s="13">
        <v>161</v>
      </c>
      <c r="B161" s="202" t="s">
        <v>1526</v>
      </c>
      <c r="C161" s="202" t="s">
        <v>1527</v>
      </c>
      <c r="D161" s="202" t="s">
        <v>1528</v>
      </c>
      <c r="E161" s="202" t="s">
        <v>1529</v>
      </c>
      <c r="F161" s="222">
        <f t="shared" si="16"/>
        <v>12</v>
      </c>
      <c r="G161" s="223" t="str">
        <f t="shared" si="17"/>
        <v>9</v>
      </c>
      <c r="H161" s="224">
        <f t="shared" si="18"/>
        <v>9</v>
      </c>
      <c r="I161" s="223" t="str">
        <f t="shared" si="19"/>
        <v>12 min.</v>
      </c>
      <c r="J161" s="223" t="str">
        <f t="shared" si="20"/>
        <v>12</v>
      </c>
      <c r="K161" s="224">
        <f t="shared" si="21"/>
        <v>12</v>
      </c>
      <c r="L161" s="223" t="str">
        <f t="shared" si="22"/>
        <v>9:12</v>
      </c>
      <c r="M161" s="225">
        <f t="shared" si="23"/>
        <v>0.3833333333333333</v>
      </c>
      <c r="N161" s="203" t="s">
        <v>941</v>
      </c>
      <c r="O161" s="202" t="s">
        <v>303</v>
      </c>
      <c r="P161" s="203" t="s">
        <v>304</v>
      </c>
      <c r="Q161" s="203" t="s">
        <v>276</v>
      </c>
    </row>
    <row r="162" spans="1:17" s="204" customFormat="1">
      <c r="A162" s="13">
        <v>162</v>
      </c>
      <c r="B162" s="202" t="s">
        <v>1530</v>
      </c>
      <c r="C162" s="202" t="s">
        <v>1531</v>
      </c>
      <c r="D162" s="202" t="s">
        <v>1532</v>
      </c>
      <c r="E162" s="202" t="s">
        <v>1533</v>
      </c>
      <c r="F162" s="222">
        <f t="shared" si="16"/>
        <v>12</v>
      </c>
      <c r="G162" s="223" t="str">
        <f t="shared" si="17"/>
        <v>8</v>
      </c>
      <c r="H162" s="224">
        <f t="shared" si="18"/>
        <v>8</v>
      </c>
      <c r="I162" s="223" t="str">
        <f t="shared" si="19"/>
        <v>25 min.</v>
      </c>
      <c r="J162" s="223" t="str">
        <f t="shared" si="20"/>
        <v>25</v>
      </c>
      <c r="K162" s="224">
        <f t="shared" si="21"/>
        <v>25</v>
      </c>
      <c r="L162" s="223" t="str">
        <f t="shared" si="22"/>
        <v>8:25</v>
      </c>
      <c r="M162" s="225">
        <f t="shared" si="23"/>
        <v>0.35069444444444442</v>
      </c>
      <c r="N162" s="203" t="s">
        <v>1001</v>
      </c>
      <c r="O162" s="202" t="s">
        <v>303</v>
      </c>
      <c r="P162" s="203" t="s">
        <v>304</v>
      </c>
      <c r="Q162" s="203" t="s">
        <v>276</v>
      </c>
    </row>
    <row r="163" spans="1:17" s="204" customFormat="1">
      <c r="A163" s="13">
        <v>163</v>
      </c>
      <c r="B163" s="202" t="s">
        <v>1534</v>
      </c>
      <c r="C163" s="202" t="s">
        <v>1535</v>
      </c>
      <c r="D163" s="202" t="s">
        <v>1536</v>
      </c>
      <c r="E163" s="202" t="s">
        <v>1537</v>
      </c>
      <c r="F163" s="222">
        <f t="shared" si="16"/>
        <v>13</v>
      </c>
      <c r="G163" s="223" t="str">
        <f t="shared" si="17"/>
        <v>38</v>
      </c>
      <c r="H163" s="224">
        <f t="shared" si="18"/>
        <v>38</v>
      </c>
      <c r="I163" s="223" t="str">
        <f t="shared" si="19"/>
        <v>24 min.</v>
      </c>
      <c r="J163" s="223" t="str">
        <f t="shared" si="20"/>
        <v>24</v>
      </c>
      <c r="K163" s="224">
        <f t="shared" si="21"/>
        <v>24</v>
      </c>
      <c r="L163" s="223" t="str">
        <f t="shared" si="22"/>
        <v>38:24</v>
      </c>
      <c r="M163" s="225">
        <f t="shared" si="23"/>
        <v>1.5999999999999999</v>
      </c>
      <c r="N163" s="203" t="s">
        <v>396</v>
      </c>
      <c r="O163" s="202" t="s">
        <v>496</v>
      </c>
      <c r="P163" s="203" t="s">
        <v>304</v>
      </c>
      <c r="Q163" s="203" t="s">
        <v>276</v>
      </c>
    </row>
    <row r="164" spans="1:17" s="204" customFormat="1">
      <c r="A164" s="13">
        <v>164</v>
      </c>
      <c r="B164" s="202" t="s">
        <v>1547</v>
      </c>
      <c r="C164" s="202" t="s">
        <v>1548</v>
      </c>
      <c r="D164" s="202" t="s">
        <v>1549</v>
      </c>
      <c r="E164" s="202" t="s">
        <v>1550</v>
      </c>
      <c r="F164" s="222">
        <f t="shared" si="16"/>
        <v>13</v>
      </c>
      <c r="G164" s="223" t="str">
        <f t="shared" si="17"/>
        <v>10</v>
      </c>
      <c r="H164" s="224">
        <f t="shared" si="18"/>
        <v>10</v>
      </c>
      <c r="I164" s="223" t="str">
        <f t="shared" si="19"/>
        <v>09 min.</v>
      </c>
      <c r="J164" s="223" t="str">
        <f t="shared" si="20"/>
        <v>09</v>
      </c>
      <c r="K164" s="224">
        <f t="shared" si="21"/>
        <v>9</v>
      </c>
      <c r="L164" s="223" t="str">
        <f t="shared" si="22"/>
        <v>10:9</v>
      </c>
      <c r="M164" s="225">
        <f t="shared" si="23"/>
        <v>0.42291666666666666</v>
      </c>
      <c r="N164" s="203" t="s">
        <v>477</v>
      </c>
      <c r="O164" s="202" t="s">
        <v>303</v>
      </c>
      <c r="P164" s="203" t="s">
        <v>304</v>
      </c>
      <c r="Q164" s="203" t="s">
        <v>276</v>
      </c>
    </row>
    <row r="165" spans="1:17" s="204" customFormat="1">
      <c r="A165" s="13">
        <v>165</v>
      </c>
      <c r="B165" s="202" t="s">
        <v>1551</v>
      </c>
      <c r="C165" s="202" t="s">
        <v>1552</v>
      </c>
      <c r="D165" s="202" t="s">
        <v>1553</v>
      </c>
      <c r="E165" s="202" t="s">
        <v>1554</v>
      </c>
      <c r="F165" s="222">
        <f t="shared" si="16"/>
        <v>12</v>
      </c>
      <c r="G165" s="223" t="str">
        <f t="shared" si="17"/>
        <v>4</v>
      </c>
      <c r="H165" s="224">
        <f t="shared" si="18"/>
        <v>4</v>
      </c>
      <c r="I165" s="223" t="str">
        <f t="shared" si="19"/>
        <v>01 min.</v>
      </c>
      <c r="J165" s="223" t="str">
        <f t="shared" si="20"/>
        <v>01</v>
      </c>
      <c r="K165" s="224">
        <f t="shared" si="21"/>
        <v>1</v>
      </c>
      <c r="L165" s="223" t="str">
        <f t="shared" si="22"/>
        <v>4:1</v>
      </c>
      <c r="M165" s="225">
        <f t="shared" si="23"/>
        <v>0.1673611111111111</v>
      </c>
      <c r="N165" s="203" t="s">
        <v>933</v>
      </c>
      <c r="O165" s="202" t="s">
        <v>371</v>
      </c>
      <c r="P165" s="203" t="s">
        <v>304</v>
      </c>
      <c r="Q165" s="203" t="s">
        <v>276</v>
      </c>
    </row>
    <row r="166" spans="1:17" s="204" customFormat="1">
      <c r="A166" s="13">
        <v>166</v>
      </c>
      <c r="B166" s="202" t="s">
        <v>1555</v>
      </c>
      <c r="C166" s="202" t="s">
        <v>1556</v>
      </c>
      <c r="D166" s="202" t="s">
        <v>1557</v>
      </c>
      <c r="E166" s="202" t="s">
        <v>875</v>
      </c>
      <c r="F166" s="222">
        <f t="shared" si="16"/>
        <v>12</v>
      </c>
      <c r="G166" s="223" t="str">
        <f t="shared" si="17"/>
        <v>7</v>
      </c>
      <c r="H166" s="224">
        <f t="shared" si="18"/>
        <v>7</v>
      </c>
      <c r="I166" s="223" t="str">
        <f t="shared" si="19"/>
        <v>30 min.</v>
      </c>
      <c r="J166" s="223" t="str">
        <f t="shared" si="20"/>
        <v>30</v>
      </c>
      <c r="K166" s="224">
        <f t="shared" si="21"/>
        <v>30</v>
      </c>
      <c r="L166" s="223" t="str">
        <f t="shared" si="22"/>
        <v>7:30</v>
      </c>
      <c r="M166" s="225">
        <f t="shared" si="23"/>
        <v>0.3125</v>
      </c>
      <c r="N166" s="203" t="s">
        <v>370</v>
      </c>
      <c r="O166" s="202" t="s">
        <v>439</v>
      </c>
      <c r="P166" s="203" t="s">
        <v>304</v>
      </c>
      <c r="Q166" s="203" t="s">
        <v>276</v>
      </c>
    </row>
    <row r="167" spans="1:17" s="204" customFormat="1">
      <c r="A167" s="13">
        <v>167</v>
      </c>
      <c r="B167" s="202" t="s">
        <v>1558</v>
      </c>
      <c r="C167" s="202" t="s">
        <v>966</v>
      </c>
      <c r="D167" s="202" t="s">
        <v>1559</v>
      </c>
      <c r="E167" s="202" t="s">
        <v>1560</v>
      </c>
      <c r="F167" s="222">
        <f t="shared" si="16"/>
        <v>12</v>
      </c>
      <c r="G167" s="223" t="str">
        <f t="shared" si="17"/>
        <v>4</v>
      </c>
      <c r="H167" s="224">
        <f t="shared" si="18"/>
        <v>4</v>
      </c>
      <c r="I167" s="223" t="str">
        <f t="shared" si="19"/>
        <v>56 min.</v>
      </c>
      <c r="J167" s="223" t="str">
        <f t="shared" si="20"/>
        <v>56</v>
      </c>
      <c r="K167" s="224">
        <f t="shared" si="21"/>
        <v>56</v>
      </c>
      <c r="L167" s="223" t="str">
        <f t="shared" si="22"/>
        <v>4:56</v>
      </c>
      <c r="M167" s="225">
        <f t="shared" si="23"/>
        <v>0.20555555555555557</v>
      </c>
      <c r="N167" s="203" t="s">
        <v>968</v>
      </c>
      <c r="O167" s="202" t="s">
        <v>343</v>
      </c>
      <c r="P167" s="203" t="s">
        <v>304</v>
      </c>
      <c r="Q167" s="203" t="s">
        <v>276</v>
      </c>
    </row>
    <row r="168" spans="1:17" s="204" customFormat="1">
      <c r="A168" s="13">
        <v>168</v>
      </c>
      <c r="B168" s="202" t="s">
        <v>1561</v>
      </c>
      <c r="C168" s="202" t="s">
        <v>1562</v>
      </c>
      <c r="D168" s="202" t="s">
        <v>1563</v>
      </c>
      <c r="E168" s="202" t="s">
        <v>1564</v>
      </c>
      <c r="F168" s="222">
        <f t="shared" si="16"/>
        <v>12</v>
      </c>
      <c r="G168" s="223" t="str">
        <f t="shared" si="17"/>
        <v>3</v>
      </c>
      <c r="H168" s="224">
        <f t="shared" si="18"/>
        <v>3</v>
      </c>
      <c r="I168" s="223" t="str">
        <f t="shared" si="19"/>
        <v>06 min.</v>
      </c>
      <c r="J168" s="223" t="str">
        <f t="shared" si="20"/>
        <v>06</v>
      </c>
      <c r="K168" s="224">
        <f t="shared" si="21"/>
        <v>6</v>
      </c>
      <c r="L168" s="223" t="str">
        <f t="shared" si="22"/>
        <v>3:6</v>
      </c>
      <c r="M168" s="225">
        <f t="shared" si="23"/>
        <v>0.12916666666666668</v>
      </c>
      <c r="N168" s="203" t="s">
        <v>919</v>
      </c>
      <c r="O168" s="202" t="s">
        <v>536</v>
      </c>
      <c r="P168" s="203" t="s">
        <v>304</v>
      </c>
      <c r="Q168" s="203" t="s">
        <v>276</v>
      </c>
    </row>
    <row r="169" spans="1:17" s="204" customFormat="1">
      <c r="A169" s="13">
        <v>169</v>
      </c>
      <c r="B169" s="202" t="s">
        <v>1565</v>
      </c>
      <c r="C169" s="202" t="s">
        <v>1566</v>
      </c>
      <c r="D169" s="202" t="s">
        <v>1567</v>
      </c>
      <c r="E169" s="202" t="s">
        <v>2580</v>
      </c>
      <c r="F169" s="222">
        <f t="shared" si="16"/>
        <v>12</v>
      </c>
      <c r="G169" s="223" t="str">
        <f t="shared" si="17"/>
        <v>3</v>
      </c>
      <c r="H169" s="224">
        <f t="shared" si="18"/>
        <v>3</v>
      </c>
      <c r="I169" s="223" t="str">
        <f t="shared" si="19"/>
        <v>00 min.</v>
      </c>
      <c r="J169" s="223" t="str">
        <f t="shared" si="20"/>
        <v>00</v>
      </c>
      <c r="K169" s="224">
        <f t="shared" si="21"/>
        <v>0</v>
      </c>
      <c r="L169" s="223" t="str">
        <f t="shared" si="22"/>
        <v>3:0</v>
      </c>
      <c r="M169" s="225">
        <f t="shared" si="23"/>
        <v>0.125</v>
      </c>
      <c r="N169" s="203" t="s">
        <v>893</v>
      </c>
      <c r="O169" s="202" t="s">
        <v>1568</v>
      </c>
      <c r="P169" s="203" t="s">
        <v>304</v>
      </c>
      <c r="Q169" s="203" t="s">
        <v>276</v>
      </c>
    </row>
    <row r="170" spans="1:17" s="204" customFormat="1">
      <c r="A170" s="13">
        <v>170</v>
      </c>
      <c r="B170" s="202" t="s">
        <v>1573</v>
      </c>
      <c r="C170" s="202" t="s">
        <v>1574</v>
      </c>
      <c r="D170" s="202" t="s">
        <v>1575</v>
      </c>
      <c r="E170" s="202" t="s">
        <v>1576</v>
      </c>
      <c r="F170" s="222">
        <f t="shared" si="16"/>
        <v>13</v>
      </c>
      <c r="G170" s="223" t="str">
        <f t="shared" si="17"/>
        <v>11</v>
      </c>
      <c r="H170" s="224">
        <f t="shared" si="18"/>
        <v>11</v>
      </c>
      <c r="I170" s="223" t="str">
        <f t="shared" si="19"/>
        <v>06 min.</v>
      </c>
      <c r="J170" s="223" t="str">
        <f t="shared" si="20"/>
        <v>06</v>
      </c>
      <c r="K170" s="224">
        <f t="shared" si="21"/>
        <v>6</v>
      </c>
      <c r="L170" s="223" t="str">
        <f t="shared" si="22"/>
        <v>11:6</v>
      </c>
      <c r="M170" s="225">
        <f t="shared" si="23"/>
        <v>0.46249999999999997</v>
      </c>
      <c r="N170" s="203" t="s">
        <v>1027</v>
      </c>
      <c r="O170" s="202" t="s">
        <v>303</v>
      </c>
      <c r="P170" s="203" t="s">
        <v>304</v>
      </c>
      <c r="Q170" s="203" t="s">
        <v>276</v>
      </c>
    </row>
    <row r="171" spans="1:17" s="204" customFormat="1">
      <c r="A171" s="13">
        <v>171</v>
      </c>
      <c r="B171" s="202" t="s">
        <v>1577</v>
      </c>
      <c r="C171" s="202" t="s">
        <v>1578</v>
      </c>
      <c r="D171" s="202" t="s">
        <v>1579</v>
      </c>
      <c r="E171" s="202" t="s">
        <v>1580</v>
      </c>
      <c r="F171" s="222">
        <f t="shared" si="16"/>
        <v>12</v>
      </c>
      <c r="G171" s="223" t="str">
        <f t="shared" si="17"/>
        <v>2</v>
      </c>
      <c r="H171" s="224">
        <f t="shared" si="18"/>
        <v>2</v>
      </c>
      <c r="I171" s="223" t="str">
        <f t="shared" si="19"/>
        <v>49 min.</v>
      </c>
      <c r="J171" s="223" t="str">
        <f t="shared" si="20"/>
        <v>49</v>
      </c>
      <c r="K171" s="224">
        <f t="shared" si="21"/>
        <v>49</v>
      </c>
      <c r="L171" s="223" t="str">
        <f t="shared" si="22"/>
        <v>2:49</v>
      </c>
      <c r="M171" s="225">
        <f t="shared" si="23"/>
        <v>0.1173611111111111</v>
      </c>
      <c r="N171" s="203" t="s">
        <v>1581</v>
      </c>
      <c r="O171" s="202" t="s">
        <v>303</v>
      </c>
      <c r="P171" s="203" t="s">
        <v>304</v>
      </c>
      <c r="Q171" s="203" t="s">
        <v>276</v>
      </c>
    </row>
    <row r="172" spans="1:17" s="204" customFormat="1">
      <c r="A172" s="13">
        <v>172</v>
      </c>
      <c r="B172" s="202" t="s">
        <v>1582</v>
      </c>
      <c r="C172" s="202" t="s">
        <v>1583</v>
      </c>
      <c r="D172" s="202" t="s">
        <v>1584</v>
      </c>
      <c r="E172" s="202" t="s">
        <v>1585</v>
      </c>
      <c r="F172" s="222">
        <f t="shared" si="16"/>
        <v>12</v>
      </c>
      <c r="G172" s="223" t="str">
        <f t="shared" si="17"/>
        <v>2</v>
      </c>
      <c r="H172" s="224">
        <f t="shared" si="18"/>
        <v>2</v>
      </c>
      <c r="I172" s="223" t="str">
        <f t="shared" si="19"/>
        <v>12 min.</v>
      </c>
      <c r="J172" s="223" t="str">
        <f t="shared" si="20"/>
        <v>12</v>
      </c>
      <c r="K172" s="224">
        <f t="shared" si="21"/>
        <v>12</v>
      </c>
      <c r="L172" s="223" t="str">
        <f t="shared" si="22"/>
        <v>2:12</v>
      </c>
      <c r="M172" s="225">
        <f t="shared" si="23"/>
        <v>9.1666666666666674E-2</v>
      </c>
      <c r="N172" s="203" t="s">
        <v>365</v>
      </c>
      <c r="O172" s="202" t="s">
        <v>303</v>
      </c>
      <c r="P172" s="203" t="s">
        <v>304</v>
      </c>
      <c r="Q172" s="203" t="s">
        <v>276</v>
      </c>
    </row>
    <row r="173" spans="1:17" s="204" customFormat="1">
      <c r="A173" s="13">
        <v>173</v>
      </c>
      <c r="B173" s="202" t="s">
        <v>1586</v>
      </c>
      <c r="C173" s="202" t="s">
        <v>631</v>
      </c>
      <c r="D173" s="202" t="s">
        <v>1587</v>
      </c>
      <c r="E173" s="202" t="s">
        <v>1431</v>
      </c>
      <c r="F173" s="222">
        <f t="shared" si="16"/>
        <v>13</v>
      </c>
      <c r="G173" s="223" t="str">
        <f t="shared" si="17"/>
        <v>13</v>
      </c>
      <c r="H173" s="224">
        <f t="shared" si="18"/>
        <v>13</v>
      </c>
      <c r="I173" s="223" t="str">
        <f t="shared" si="19"/>
        <v>25 min.</v>
      </c>
      <c r="J173" s="223" t="str">
        <f t="shared" si="20"/>
        <v>25</v>
      </c>
      <c r="K173" s="224">
        <f t="shared" si="21"/>
        <v>25</v>
      </c>
      <c r="L173" s="223" t="str">
        <f t="shared" si="22"/>
        <v>13:25</v>
      </c>
      <c r="M173" s="225">
        <f t="shared" si="23"/>
        <v>0.55902777777777779</v>
      </c>
      <c r="N173" s="203" t="s">
        <v>1006</v>
      </c>
      <c r="O173" s="202" t="s">
        <v>350</v>
      </c>
      <c r="P173" s="203" t="s">
        <v>304</v>
      </c>
      <c r="Q173" s="203" t="s">
        <v>276</v>
      </c>
    </row>
    <row r="174" spans="1:17" s="204" customFormat="1">
      <c r="A174" s="13">
        <v>174</v>
      </c>
      <c r="B174" s="202" t="s">
        <v>1588</v>
      </c>
      <c r="C174" s="202" t="s">
        <v>1589</v>
      </c>
      <c r="D174" s="202" t="s">
        <v>1590</v>
      </c>
      <c r="E174" s="202" t="s">
        <v>1489</v>
      </c>
      <c r="F174" s="222">
        <f t="shared" si="16"/>
        <v>12</v>
      </c>
      <c r="G174" s="223" t="str">
        <f t="shared" si="17"/>
        <v>3</v>
      </c>
      <c r="H174" s="224">
        <f t="shared" si="18"/>
        <v>3</v>
      </c>
      <c r="I174" s="223" t="str">
        <f t="shared" si="19"/>
        <v>17 min.</v>
      </c>
      <c r="J174" s="223" t="str">
        <f t="shared" si="20"/>
        <v>17</v>
      </c>
      <c r="K174" s="224">
        <f t="shared" si="21"/>
        <v>17</v>
      </c>
      <c r="L174" s="223" t="str">
        <f t="shared" si="22"/>
        <v>3:17</v>
      </c>
      <c r="M174" s="225">
        <f t="shared" si="23"/>
        <v>0.13680555555555554</v>
      </c>
      <c r="N174" s="203" t="s">
        <v>531</v>
      </c>
      <c r="O174" s="202" t="s">
        <v>413</v>
      </c>
      <c r="P174" s="203" t="s">
        <v>304</v>
      </c>
      <c r="Q174" s="203" t="s">
        <v>276</v>
      </c>
    </row>
    <row r="175" spans="1:17" s="204" customFormat="1">
      <c r="A175" s="13">
        <v>175</v>
      </c>
      <c r="B175" s="202" t="s">
        <v>1591</v>
      </c>
      <c r="C175" s="202" t="s">
        <v>1592</v>
      </c>
      <c r="D175" s="202" t="s">
        <v>1593</v>
      </c>
      <c r="E175" s="202" t="s">
        <v>949</v>
      </c>
      <c r="F175" s="222">
        <f t="shared" si="16"/>
        <v>12</v>
      </c>
      <c r="G175" s="223" t="str">
        <f t="shared" si="17"/>
        <v>5</v>
      </c>
      <c r="H175" s="224">
        <f t="shared" si="18"/>
        <v>5</v>
      </c>
      <c r="I175" s="223" t="str">
        <f t="shared" si="19"/>
        <v>20 min.</v>
      </c>
      <c r="J175" s="223" t="str">
        <f t="shared" si="20"/>
        <v>20</v>
      </c>
      <c r="K175" s="224">
        <f t="shared" si="21"/>
        <v>20</v>
      </c>
      <c r="L175" s="223" t="str">
        <f t="shared" si="22"/>
        <v>5:20</v>
      </c>
      <c r="M175" s="225">
        <f t="shared" si="23"/>
        <v>0.22222222222222221</v>
      </c>
      <c r="N175" s="203" t="s">
        <v>521</v>
      </c>
      <c r="O175" s="202" t="s">
        <v>371</v>
      </c>
      <c r="P175" s="203" t="s">
        <v>304</v>
      </c>
      <c r="Q175" s="203" t="s">
        <v>276</v>
      </c>
    </row>
    <row r="176" spans="1:17" s="204" customFormat="1">
      <c r="A176" s="13">
        <v>176</v>
      </c>
      <c r="B176" s="202" t="s">
        <v>1594</v>
      </c>
      <c r="C176" s="202" t="s">
        <v>1595</v>
      </c>
      <c r="D176" s="202" t="s">
        <v>1596</v>
      </c>
      <c r="E176" s="202" t="s">
        <v>2578</v>
      </c>
      <c r="F176" s="222">
        <f t="shared" si="16"/>
        <v>12</v>
      </c>
      <c r="G176" s="223" t="str">
        <f t="shared" si="17"/>
        <v>6</v>
      </c>
      <c r="H176" s="224">
        <f t="shared" si="18"/>
        <v>6</v>
      </c>
      <c r="I176" s="223" t="str">
        <f t="shared" si="19"/>
        <v>00 min.</v>
      </c>
      <c r="J176" s="223" t="str">
        <f t="shared" si="20"/>
        <v>00</v>
      </c>
      <c r="K176" s="224">
        <f t="shared" si="21"/>
        <v>0</v>
      </c>
      <c r="L176" s="223" t="str">
        <f t="shared" si="22"/>
        <v>6:0</v>
      </c>
      <c r="M176" s="225">
        <f t="shared" si="23"/>
        <v>0.25</v>
      </c>
      <c r="N176" s="203" t="s">
        <v>505</v>
      </c>
      <c r="O176" s="202" t="s">
        <v>303</v>
      </c>
      <c r="P176" s="203" t="s">
        <v>304</v>
      </c>
      <c r="Q176" s="203" t="s">
        <v>276</v>
      </c>
    </row>
    <row r="177" spans="1:17" s="204" customFormat="1">
      <c r="A177" s="13">
        <v>177</v>
      </c>
      <c r="B177" s="202" t="s">
        <v>1601</v>
      </c>
      <c r="C177" s="202" t="s">
        <v>1602</v>
      </c>
      <c r="D177" s="202" t="s">
        <v>1603</v>
      </c>
      <c r="E177" s="202" t="s">
        <v>1262</v>
      </c>
      <c r="F177" s="222">
        <f t="shared" si="16"/>
        <v>12</v>
      </c>
      <c r="G177" s="223" t="str">
        <f t="shared" si="17"/>
        <v>7</v>
      </c>
      <c r="H177" s="224">
        <f t="shared" si="18"/>
        <v>7</v>
      </c>
      <c r="I177" s="223" t="str">
        <f t="shared" si="19"/>
        <v>52 min.</v>
      </c>
      <c r="J177" s="223" t="str">
        <f t="shared" si="20"/>
        <v>52</v>
      </c>
      <c r="K177" s="224">
        <f t="shared" si="21"/>
        <v>52</v>
      </c>
      <c r="L177" s="223" t="str">
        <f t="shared" si="22"/>
        <v>7:52</v>
      </c>
      <c r="M177" s="225">
        <f t="shared" si="23"/>
        <v>0.32777777777777778</v>
      </c>
      <c r="N177" s="203" t="s">
        <v>1604</v>
      </c>
      <c r="O177" s="202" t="s">
        <v>439</v>
      </c>
      <c r="P177" s="203" t="s">
        <v>304</v>
      </c>
      <c r="Q177" s="203" t="s">
        <v>276</v>
      </c>
    </row>
    <row r="178" spans="1:17" s="204" customFormat="1">
      <c r="A178" s="13">
        <v>178</v>
      </c>
      <c r="B178" s="202" t="s">
        <v>1625</v>
      </c>
      <c r="C178" s="202" t="s">
        <v>1626</v>
      </c>
      <c r="D178" s="202" t="s">
        <v>1627</v>
      </c>
      <c r="E178" s="202" t="s">
        <v>1628</v>
      </c>
      <c r="F178" s="222">
        <f t="shared" si="16"/>
        <v>13</v>
      </c>
      <c r="G178" s="223" t="str">
        <f t="shared" si="17"/>
        <v>11</v>
      </c>
      <c r="H178" s="224">
        <f t="shared" si="18"/>
        <v>11</v>
      </c>
      <c r="I178" s="223" t="str">
        <f t="shared" si="19"/>
        <v>46 min.</v>
      </c>
      <c r="J178" s="223" t="str">
        <f t="shared" si="20"/>
        <v>46</v>
      </c>
      <c r="K178" s="224">
        <f t="shared" si="21"/>
        <v>46</v>
      </c>
      <c r="L178" s="223" t="str">
        <f t="shared" si="22"/>
        <v>11:46</v>
      </c>
      <c r="M178" s="225">
        <f t="shared" si="23"/>
        <v>0.49027777777777781</v>
      </c>
      <c r="N178" s="203" t="s">
        <v>643</v>
      </c>
      <c r="O178" s="202" t="s">
        <v>303</v>
      </c>
      <c r="P178" s="203" t="s">
        <v>304</v>
      </c>
      <c r="Q178" s="203" t="s">
        <v>276</v>
      </c>
    </row>
    <row r="179" spans="1:17" s="204" customFormat="1">
      <c r="A179" s="13">
        <v>179</v>
      </c>
      <c r="B179" s="202" t="s">
        <v>1631</v>
      </c>
      <c r="C179" s="202" t="s">
        <v>1632</v>
      </c>
      <c r="D179" s="202" t="s">
        <v>1633</v>
      </c>
      <c r="E179" s="202" t="s">
        <v>1634</v>
      </c>
      <c r="F179" s="222">
        <f t="shared" si="16"/>
        <v>12</v>
      </c>
      <c r="G179" s="223" t="str">
        <f t="shared" si="17"/>
        <v>8</v>
      </c>
      <c r="H179" s="224">
        <f t="shared" si="18"/>
        <v>8</v>
      </c>
      <c r="I179" s="223" t="str">
        <f t="shared" si="19"/>
        <v>01 min.</v>
      </c>
      <c r="J179" s="223" t="str">
        <f t="shared" si="20"/>
        <v>01</v>
      </c>
      <c r="K179" s="224">
        <f t="shared" si="21"/>
        <v>1</v>
      </c>
      <c r="L179" s="223" t="str">
        <f t="shared" si="22"/>
        <v>8:1</v>
      </c>
      <c r="M179" s="225">
        <f t="shared" si="23"/>
        <v>0.33402777777777781</v>
      </c>
      <c r="N179" s="203" t="s">
        <v>526</v>
      </c>
      <c r="O179" s="202" t="s">
        <v>350</v>
      </c>
      <c r="P179" s="203" t="s">
        <v>304</v>
      </c>
      <c r="Q179" s="203" t="s">
        <v>276</v>
      </c>
    </row>
    <row r="180" spans="1:17" s="204" customFormat="1">
      <c r="A180" s="13">
        <v>180</v>
      </c>
      <c r="B180" s="202" t="s">
        <v>1635</v>
      </c>
      <c r="C180" s="202" t="s">
        <v>334</v>
      </c>
      <c r="D180" s="202" t="s">
        <v>1636</v>
      </c>
      <c r="E180" s="202" t="s">
        <v>1637</v>
      </c>
      <c r="F180" s="222">
        <f t="shared" si="16"/>
        <v>12</v>
      </c>
      <c r="G180" s="223" t="str">
        <f t="shared" si="17"/>
        <v>9</v>
      </c>
      <c r="H180" s="224">
        <f t="shared" si="18"/>
        <v>9</v>
      </c>
      <c r="I180" s="223" t="str">
        <f t="shared" si="19"/>
        <v>31 min.</v>
      </c>
      <c r="J180" s="223" t="str">
        <f t="shared" si="20"/>
        <v>31</v>
      </c>
      <c r="K180" s="224">
        <f t="shared" si="21"/>
        <v>31</v>
      </c>
      <c r="L180" s="223" t="str">
        <f t="shared" si="22"/>
        <v>9:31</v>
      </c>
      <c r="M180" s="225">
        <f t="shared" si="23"/>
        <v>0.39652777777777781</v>
      </c>
      <c r="N180" s="203" t="s">
        <v>1006</v>
      </c>
      <c r="O180" s="202" t="s">
        <v>274</v>
      </c>
      <c r="P180" s="203" t="s">
        <v>304</v>
      </c>
      <c r="Q180" s="203" t="s">
        <v>276</v>
      </c>
    </row>
    <row r="181" spans="1:17" s="204" customFormat="1">
      <c r="A181" s="13">
        <v>181</v>
      </c>
      <c r="B181" s="202" t="s">
        <v>1638</v>
      </c>
      <c r="C181" s="202" t="s">
        <v>1639</v>
      </c>
      <c r="D181" s="202" t="s">
        <v>1640</v>
      </c>
      <c r="E181" s="202" t="s">
        <v>928</v>
      </c>
      <c r="F181" s="222">
        <f t="shared" ref="F181:F244" si="24">LEN(E181)</f>
        <v>12</v>
      </c>
      <c r="G181" s="223" t="str">
        <f t="shared" ref="G181:G244" si="25">IF(F181=12,LEFT(E181,1),LEFT(E181,2))</f>
        <v>4</v>
      </c>
      <c r="H181" s="224">
        <f t="shared" ref="H181:H244" si="26">VALUE(G181)</f>
        <v>4</v>
      </c>
      <c r="I181" s="223" t="str">
        <f t="shared" ref="I181:I244" si="27">RIGHT(E181,7)</f>
        <v>42 min.</v>
      </c>
      <c r="J181" s="223" t="str">
        <f t="shared" ref="J181:J244" si="28">LEFT(I181,2)</f>
        <v>42</v>
      </c>
      <c r="K181" s="224">
        <f t="shared" ref="K181:K244" si="29">VALUE(J181)</f>
        <v>42</v>
      </c>
      <c r="L181" s="223" t="str">
        <f t="shared" ref="L181:L244" si="30">H181&amp;":"&amp;K181</f>
        <v>4:42</v>
      </c>
      <c r="M181" s="225">
        <f t="shared" ref="M181:M244" si="31">VALUE(L181)</f>
        <v>0.19583333333333333</v>
      </c>
      <c r="N181" s="203" t="s">
        <v>433</v>
      </c>
      <c r="O181" s="202" t="s">
        <v>303</v>
      </c>
      <c r="P181" s="203" t="s">
        <v>304</v>
      </c>
      <c r="Q181" s="203" t="s">
        <v>276</v>
      </c>
    </row>
    <row r="182" spans="1:17" s="204" customFormat="1">
      <c r="A182" s="13">
        <v>182</v>
      </c>
      <c r="B182" s="202" t="s">
        <v>1645</v>
      </c>
      <c r="C182" s="202" t="s">
        <v>1646</v>
      </c>
      <c r="D182" s="202" t="s">
        <v>1647</v>
      </c>
      <c r="E182" s="202" t="s">
        <v>1127</v>
      </c>
      <c r="F182" s="222">
        <f t="shared" si="24"/>
        <v>12</v>
      </c>
      <c r="G182" s="223" t="str">
        <f t="shared" si="25"/>
        <v>5</v>
      </c>
      <c r="H182" s="224">
        <f t="shared" si="26"/>
        <v>5</v>
      </c>
      <c r="I182" s="223" t="str">
        <f t="shared" si="27"/>
        <v>55 min.</v>
      </c>
      <c r="J182" s="223" t="str">
        <f t="shared" si="28"/>
        <v>55</v>
      </c>
      <c r="K182" s="224">
        <f t="shared" si="29"/>
        <v>55</v>
      </c>
      <c r="L182" s="223" t="str">
        <f t="shared" si="30"/>
        <v>5:55</v>
      </c>
      <c r="M182" s="225">
        <f t="shared" si="31"/>
        <v>0.24652777777777779</v>
      </c>
      <c r="N182" s="203" t="s">
        <v>418</v>
      </c>
      <c r="O182" s="202" t="s">
        <v>303</v>
      </c>
      <c r="P182" s="203" t="s">
        <v>304</v>
      </c>
      <c r="Q182" s="203" t="s">
        <v>276</v>
      </c>
    </row>
    <row r="183" spans="1:17" s="204" customFormat="1">
      <c r="A183" s="13">
        <v>183</v>
      </c>
      <c r="B183" s="202" t="s">
        <v>1664</v>
      </c>
      <c r="C183" s="202" t="s">
        <v>1665</v>
      </c>
      <c r="D183" s="202" t="s">
        <v>1666</v>
      </c>
      <c r="E183" s="202" t="s">
        <v>1667</v>
      </c>
      <c r="F183" s="222">
        <f t="shared" si="24"/>
        <v>12</v>
      </c>
      <c r="G183" s="223" t="str">
        <f t="shared" si="25"/>
        <v>7</v>
      </c>
      <c r="H183" s="224">
        <f t="shared" si="26"/>
        <v>7</v>
      </c>
      <c r="I183" s="223" t="str">
        <f t="shared" si="27"/>
        <v>03 min.</v>
      </c>
      <c r="J183" s="223" t="str">
        <f t="shared" si="28"/>
        <v>03</v>
      </c>
      <c r="K183" s="224">
        <f t="shared" si="29"/>
        <v>3</v>
      </c>
      <c r="L183" s="223" t="str">
        <f t="shared" si="30"/>
        <v>7:3</v>
      </c>
      <c r="M183" s="225">
        <f t="shared" si="31"/>
        <v>0.29375000000000001</v>
      </c>
      <c r="N183" s="203" t="s">
        <v>1604</v>
      </c>
      <c r="O183" s="202" t="s">
        <v>1668</v>
      </c>
      <c r="P183" s="203" t="s">
        <v>304</v>
      </c>
      <c r="Q183" s="203" t="s">
        <v>276</v>
      </c>
    </row>
    <row r="184" spans="1:17" s="204" customFormat="1">
      <c r="A184" s="13">
        <v>184</v>
      </c>
      <c r="B184" s="202" t="s">
        <v>1669</v>
      </c>
      <c r="C184" s="202" t="s">
        <v>1670</v>
      </c>
      <c r="D184" s="202" t="s">
        <v>1671</v>
      </c>
      <c r="E184" s="202" t="s">
        <v>1672</v>
      </c>
      <c r="F184" s="222">
        <f t="shared" si="24"/>
        <v>12</v>
      </c>
      <c r="G184" s="223" t="str">
        <f t="shared" si="25"/>
        <v>3</v>
      </c>
      <c r="H184" s="224">
        <f t="shared" si="26"/>
        <v>3</v>
      </c>
      <c r="I184" s="223" t="str">
        <f t="shared" si="27"/>
        <v>10 min.</v>
      </c>
      <c r="J184" s="223" t="str">
        <f t="shared" si="28"/>
        <v>10</v>
      </c>
      <c r="K184" s="224">
        <f t="shared" si="29"/>
        <v>10</v>
      </c>
      <c r="L184" s="223" t="str">
        <f t="shared" si="30"/>
        <v>3:10</v>
      </c>
      <c r="M184" s="225">
        <f t="shared" si="31"/>
        <v>0.13194444444444445</v>
      </c>
      <c r="N184" s="203" t="s">
        <v>531</v>
      </c>
      <c r="O184" s="202" t="s">
        <v>303</v>
      </c>
      <c r="P184" s="203" t="s">
        <v>304</v>
      </c>
      <c r="Q184" s="203" t="s">
        <v>276</v>
      </c>
    </row>
    <row r="185" spans="1:17" s="204" customFormat="1">
      <c r="A185" s="13">
        <v>185</v>
      </c>
      <c r="B185" s="202" t="s">
        <v>1686</v>
      </c>
      <c r="C185" s="202" t="s">
        <v>1687</v>
      </c>
      <c r="D185" s="202" t="s">
        <v>1688</v>
      </c>
      <c r="E185" s="202" t="s">
        <v>674</v>
      </c>
      <c r="F185" s="222">
        <f t="shared" si="24"/>
        <v>12</v>
      </c>
      <c r="G185" s="223" t="str">
        <f t="shared" si="25"/>
        <v>4</v>
      </c>
      <c r="H185" s="224">
        <f t="shared" si="26"/>
        <v>4</v>
      </c>
      <c r="I185" s="223" t="str">
        <f t="shared" si="27"/>
        <v>27 min.</v>
      </c>
      <c r="J185" s="223" t="str">
        <f t="shared" si="28"/>
        <v>27</v>
      </c>
      <c r="K185" s="224">
        <f t="shared" si="29"/>
        <v>27</v>
      </c>
      <c r="L185" s="223" t="str">
        <f t="shared" si="30"/>
        <v>4:27</v>
      </c>
      <c r="M185" s="225">
        <f t="shared" si="31"/>
        <v>0.18541666666666667</v>
      </c>
      <c r="N185" s="203" t="s">
        <v>1689</v>
      </c>
      <c r="O185" s="202" t="s">
        <v>274</v>
      </c>
      <c r="P185" s="203" t="s">
        <v>304</v>
      </c>
      <c r="Q185" s="203" t="s">
        <v>276</v>
      </c>
    </row>
    <row r="186" spans="1:17" s="204" customFormat="1">
      <c r="A186" s="13">
        <v>186</v>
      </c>
      <c r="B186" s="202" t="s">
        <v>1729</v>
      </c>
      <c r="C186" s="202" t="s">
        <v>1730</v>
      </c>
      <c r="D186" s="202" t="s">
        <v>1731</v>
      </c>
      <c r="E186" s="202" t="s">
        <v>1732</v>
      </c>
      <c r="F186" s="222">
        <f t="shared" si="24"/>
        <v>12</v>
      </c>
      <c r="G186" s="223" t="str">
        <f t="shared" si="25"/>
        <v>4</v>
      </c>
      <c r="H186" s="224">
        <f t="shared" si="26"/>
        <v>4</v>
      </c>
      <c r="I186" s="223" t="str">
        <f t="shared" si="27"/>
        <v>21 min.</v>
      </c>
      <c r="J186" s="223" t="str">
        <f t="shared" si="28"/>
        <v>21</v>
      </c>
      <c r="K186" s="224">
        <f t="shared" si="29"/>
        <v>21</v>
      </c>
      <c r="L186" s="223" t="str">
        <f t="shared" si="30"/>
        <v>4:21</v>
      </c>
      <c r="M186" s="225">
        <f t="shared" si="31"/>
        <v>0.18124999999999999</v>
      </c>
      <c r="N186" s="203" t="s">
        <v>477</v>
      </c>
      <c r="O186" s="202" t="s">
        <v>303</v>
      </c>
      <c r="P186" s="203" t="s">
        <v>304</v>
      </c>
      <c r="Q186" s="203" t="s">
        <v>276</v>
      </c>
    </row>
    <row r="187" spans="1:17" s="204" customFormat="1">
      <c r="A187" s="13">
        <v>187</v>
      </c>
      <c r="B187" s="202" t="s">
        <v>1788</v>
      </c>
      <c r="C187" s="202" t="s">
        <v>1789</v>
      </c>
      <c r="D187" s="202" t="s">
        <v>1790</v>
      </c>
      <c r="E187" s="202" t="s">
        <v>481</v>
      </c>
      <c r="F187" s="222">
        <f t="shared" si="24"/>
        <v>13</v>
      </c>
      <c r="G187" s="223" t="str">
        <f t="shared" si="25"/>
        <v>10</v>
      </c>
      <c r="H187" s="224">
        <f t="shared" si="26"/>
        <v>10</v>
      </c>
      <c r="I187" s="223" t="str">
        <f t="shared" si="27"/>
        <v>22 min.</v>
      </c>
      <c r="J187" s="223" t="str">
        <f t="shared" si="28"/>
        <v>22</v>
      </c>
      <c r="K187" s="224">
        <f t="shared" si="29"/>
        <v>22</v>
      </c>
      <c r="L187" s="223" t="str">
        <f t="shared" si="30"/>
        <v>10:22</v>
      </c>
      <c r="M187" s="225">
        <f t="shared" si="31"/>
        <v>0.43194444444444446</v>
      </c>
      <c r="N187" s="203" t="s">
        <v>959</v>
      </c>
      <c r="O187" s="202" t="s">
        <v>303</v>
      </c>
      <c r="P187" s="203" t="s">
        <v>304</v>
      </c>
      <c r="Q187" s="203" t="s">
        <v>276</v>
      </c>
    </row>
    <row r="188" spans="1:17" s="204" customFormat="1">
      <c r="A188" s="13">
        <v>188</v>
      </c>
      <c r="B188" s="202" t="s">
        <v>1803</v>
      </c>
      <c r="C188" s="202" t="s">
        <v>1804</v>
      </c>
      <c r="D188" s="202" t="s">
        <v>1805</v>
      </c>
      <c r="E188" s="202" t="s">
        <v>1806</v>
      </c>
      <c r="F188" s="222">
        <f t="shared" si="24"/>
        <v>12</v>
      </c>
      <c r="G188" s="223" t="str">
        <f t="shared" si="25"/>
        <v>7</v>
      </c>
      <c r="H188" s="224">
        <f t="shared" si="26"/>
        <v>7</v>
      </c>
      <c r="I188" s="223" t="str">
        <f t="shared" si="27"/>
        <v>12 min.</v>
      </c>
      <c r="J188" s="223" t="str">
        <f t="shared" si="28"/>
        <v>12</v>
      </c>
      <c r="K188" s="224">
        <f t="shared" si="29"/>
        <v>12</v>
      </c>
      <c r="L188" s="223" t="str">
        <f t="shared" si="30"/>
        <v>7:12</v>
      </c>
      <c r="M188" s="225">
        <f t="shared" si="31"/>
        <v>0.3</v>
      </c>
      <c r="N188" s="203" t="s">
        <v>1013</v>
      </c>
      <c r="O188" s="202" t="s">
        <v>371</v>
      </c>
      <c r="P188" s="203" t="s">
        <v>304</v>
      </c>
      <c r="Q188" s="203" t="s">
        <v>276</v>
      </c>
    </row>
    <row r="189" spans="1:17" s="204" customFormat="1">
      <c r="A189" s="13">
        <v>189</v>
      </c>
      <c r="B189" s="202" t="s">
        <v>1823</v>
      </c>
      <c r="C189" s="202" t="s">
        <v>1824</v>
      </c>
      <c r="D189" s="202" t="s">
        <v>1825</v>
      </c>
      <c r="E189" s="202" t="s">
        <v>1826</v>
      </c>
      <c r="F189" s="222">
        <f t="shared" si="24"/>
        <v>13</v>
      </c>
      <c r="G189" s="223" t="str">
        <f t="shared" si="25"/>
        <v>11</v>
      </c>
      <c r="H189" s="224">
        <f t="shared" si="26"/>
        <v>11</v>
      </c>
      <c r="I189" s="223" t="str">
        <f t="shared" si="27"/>
        <v>35 min.</v>
      </c>
      <c r="J189" s="223" t="str">
        <f t="shared" si="28"/>
        <v>35</v>
      </c>
      <c r="K189" s="224">
        <f t="shared" si="29"/>
        <v>35</v>
      </c>
      <c r="L189" s="223" t="str">
        <f t="shared" si="30"/>
        <v>11:35</v>
      </c>
      <c r="M189" s="225">
        <f t="shared" si="31"/>
        <v>0.4826388888888889</v>
      </c>
      <c r="N189" s="203" t="s">
        <v>438</v>
      </c>
      <c r="O189" s="202" t="s">
        <v>286</v>
      </c>
      <c r="P189" s="203" t="s">
        <v>304</v>
      </c>
      <c r="Q189" s="203" t="s">
        <v>276</v>
      </c>
    </row>
    <row r="190" spans="1:17" s="204" customFormat="1">
      <c r="A190" s="13">
        <v>190</v>
      </c>
      <c r="B190" s="202" t="s">
        <v>1966</v>
      </c>
      <c r="C190" s="202" t="s">
        <v>1967</v>
      </c>
      <c r="D190" s="202" t="s">
        <v>1968</v>
      </c>
      <c r="E190" s="202" t="s">
        <v>1969</v>
      </c>
      <c r="F190" s="222">
        <f t="shared" si="24"/>
        <v>12</v>
      </c>
      <c r="G190" s="223" t="str">
        <f t="shared" si="25"/>
        <v>4</v>
      </c>
      <c r="H190" s="224">
        <f t="shared" si="26"/>
        <v>4</v>
      </c>
      <c r="I190" s="223" t="str">
        <f t="shared" si="27"/>
        <v>49 min.</v>
      </c>
      <c r="J190" s="223" t="str">
        <f t="shared" si="28"/>
        <v>49</v>
      </c>
      <c r="K190" s="224">
        <f t="shared" si="29"/>
        <v>49</v>
      </c>
      <c r="L190" s="223" t="str">
        <f t="shared" si="30"/>
        <v>4:49</v>
      </c>
      <c r="M190" s="225">
        <f t="shared" si="31"/>
        <v>0.20069444444444443</v>
      </c>
      <c r="N190" s="203" t="s">
        <v>396</v>
      </c>
      <c r="O190" s="202" t="s">
        <v>310</v>
      </c>
      <c r="P190" s="203" t="s">
        <v>304</v>
      </c>
      <c r="Q190" s="203" t="s">
        <v>276</v>
      </c>
    </row>
    <row r="191" spans="1:17" s="204" customFormat="1">
      <c r="A191" s="13">
        <v>191</v>
      </c>
      <c r="B191" s="202" t="s">
        <v>1970</v>
      </c>
      <c r="C191" s="202" t="s">
        <v>1971</v>
      </c>
      <c r="D191" s="202" t="s">
        <v>1972</v>
      </c>
      <c r="E191" s="202" t="s">
        <v>1973</v>
      </c>
      <c r="F191" s="222">
        <f t="shared" si="24"/>
        <v>12</v>
      </c>
      <c r="G191" s="223" t="str">
        <f t="shared" si="25"/>
        <v>3</v>
      </c>
      <c r="H191" s="224">
        <f t="shared" si="26"/>
        <v>3</v>
      </c>
      <c r="I191" s="223" t="str">
        <f t="shared" si="27"/>
        <v>13 min.</v>
      </c>
      <c r="J191" s="223" t="str">
        <f t="shared" si="28"/>
        <v>13</v>
      </c>
      <c r="K191" s="224">
        <f t="shared" si="29"/>
        <v>13</v>
      </c>
      <c r="L191" s="223" t="str">
        <f t="shared" si="30"/>
        <v>3:13</v>
      </c>
      <c r="M191" s="225">
        <f t="shared" si="31"/>
        <v>0.13402777777777777</v>
      </c>
      <c r="N191" s="203" t="s">
        <v>964</v>
      </c>
      <c r="O191" s="202" t="s">
        <v>303</v>
      </c>
      <c r="P191" s="203" t="s">
        <v>304</v>
      </c>
      <c r="Q191" s="203" t="s">
        <v>276</v>
      </c>
    </row>
    <row r="192" spans="1:17" s="204" customFormat="1">
      <c r="A192" s="13">
        <v>192</v>
      </c>
      <c r="B192" s="202" t="s">
        <v>1974</v>
      </c>
      <c r="C192" s="202" t="s">
        <v>1975</v>
      </c>
      <c r="D192" s="202" t="s">
        <v>1976</v>
      </c>
      <c r="E192" s="202" t="s">
        <v>2589</v>
      </c>
      <c r="F192" s="222">
        <f t="shared" si="24"/>
        <v>13</v>
      </c>
      <c r="G192" s="223" t="str">
        <f t="shared" si="25"/>
        <v>00</v>
      </c>
      <c r="H192" s="224">
        <f t="shared" si="26"/>
        <v>0</v>
      </c>
      <c r="I192" s="223" t="str">
        <f t="shared" si="27"/>
        <v>48 min.</v>
      </c>
      <c r="J192" s="223" t="str">
        <f t="shared" si="28"/>
        <v>48</v>
      </c>
      <c r="K192" s="224">
        <f t="shared" si="29"/>
        <v>48</v>
      </c>
      <c r="L192" s="223" t="str">
        <f t="shared" si="30"/>
        <v>0:48</v>
      </c>
      <c r="M192" s="225">
        <f t="shared" si="31"/>
        <v>3.3333333333333333E-2</v>
      </c>
      <c r="N192" s="203" t="s">
        <v>1027</v>
      </c>
      <c r="O192" s="202" t="s">
        <v>315</v>
      </c>
      <c r="P192" s="203" t="s">
        <v>304</v>
      </c>
      <c r="Q192" s="203" t="s">
        <v>276</v>
      </c>
    </row>
    <row r="193" spans="1:17" s="204" customFormat="1">
      <c r="A193" s="13">
        <v>193</v>
      </c>
      <c r="B193" s="202" t="s">
        <v>1988</v>
      </c>
      <c r="C193" s="202" t="s">
        <v>1556</v>
      </c>
      <c r="D193" s="202" t="s">
        <v>1989</v>
      </c>
      <c r="E193" s="202" t="s">
        <v>1990</v>
      </c>
      <c r="F193" s="222">
        <f t="shared" si="24"/>
        <v>12</v>
      </c>
      <c r="G193" s="223" t="str">
        <f t="shared" si="25"/>
        <v>6</v>
      </c>
      <c r="H193" s="224">
        <f t="shared" si="26"/>
        <v>6</v>
      </c>
      <c r="I193" s="223" t="str">
        <f t="shared" si="27"/>
        <v>48 min.</v>
      </c>
      <c r="J193" s="223" t="str">
        <f t="shared" si="28"/>
        <v>48</v>
      </c>
      <c r="K193" s="224">
        <f t="shared" si="29"/>
        <v>48</v>
      </c>
      <c r="L193" s="223" t="str">
        <f t="shared" si="30"/>
        <v>6:48</v>
      </c>
      <c r="M193" s="225">
        <f t="shared" si="31"/>
        <v>0.28333333333333333</v>
      </c>
      <c r="N193" s="203" t="s">
        <v>1991</v>
      </c>
      <c r="O193" s="202" t="s">
        <v>439</v>
      </c>
      <c r="P193" s="203" t="s">
        <v>304</v>
      </c>
      <c r="Q193" s="203" t="s">
        <v>276</v>
      </c>
    </row>
    <row r="194" spans="1:17" s="204" customFormat="1">
      <c r="A194" s="13">
        <v>194</v>
      </c>
      <c r="B194" s="202" t="s">
        <v>1995</v>
      </c>
      <c r="C194" s="202" t="s">
        <v>1996</v>
      </c>
      <c r="D194" s="202" t="s">
        <v>1997</v>
      </c>
      <c r="E194" s="202" t="s">
        <v>1998</v>
      </c>
      <c r="F194" s="222">
        <f t="shared" si="24"/>
        <v>13</v>
      </c>
      <c r="G194" s="223" t="str">
        <f t="shared" si="25"/>
        <v>64</v>
      </c>
      <c r="H194" s="224">
        <f t="shared" si="26"/>
        <v>64</v>
      </c>
      <c r="I194" s="223" t="str">
        <f t="shared" si="27"/>
        <v>16 min.</v>
      </c>
      <c r="J194" s="223" t="str">
        <f t="shared" si="28"/>
        <v>16</v>
      </c>
      <c r="K194" s="224">
        <f t="shared" si="29"/>
        <v>16</v>
      </c>
      <c r="L194" s="223" t="str">
        <f t="shared" si="30"/>
        <v>64:16</v>
      </c>
      <c r="M194" s="225">
        <f t="shared" si="31"/>
        <v>2.6777777777777776</v>
      </c>
      <c r="N194" s="203" t="s">
        <v>1999</v>
      </c>
      <c r="O194" s="202" t="s">
        <v>303</v>
      </c>
      <c r="P194" s="203" t="s">
        <v>304</v>
      </c>
      <c r="Q194" s="203" t="s">
        <v>276</v>
      </c>
    </row>
    <row r="195" spans="1:17" s="204" customFormat="1">
      <c r="A195" s="13">
        <v>195</v>
      </c>
      <c r="B195" s="202" t="s">
        <v>2000</v>
      </c>
      <c r="C195" s="202" t="s">
        <v>2001</v>
      </c>
      <c r="D195" s="202" t="s">
        <v>2002</v>
      </c>
      <c r="E195" s="202" t="s">
        <v>2003</v>
      </c>
      <c r="F195" s="222">
        <f t="shared" si="24"/>
        <v>12</v>
      </c>
      <c r="G195" s="223" t="str">
        <f t="shared" si="25"/>
        <v>3</v>
      </c>
      <c r="H195" s="224">
        <f t="shared" si="26"/>
        <v>3</v>
      </c>
      <c r="I195" s="223" t="str">
        <f t="shared" si="27"/>
        <v>49 min.</v>
      </c>
      <c r="J195" s="223" t="str">
        <f t="shared" si="28"/>
        <v>49</v>
      </c>
      <c r="K195" s="224">
        <f t="shared" si="29"/>
        <v>49</v>
      </c>
      <c r="L195" s="223" t="str">
        <f t="shared" si="30"/>
        <v>3:49</v>
      </c>
      <c r="M195" s="225">
        <f t="shared" si="31"/>
        <v>0.15902777777777777</v>
      </c>
      <c r="N195" s="203" t="s">
        <v>2004</v>
      </c>
      <c r="O195" s="202" t="s">
        <v>286</v>
      </c>
      <c r="P195" s="203" t="s">
        <v>304</v>
      </c>
      <c r="Q195" s="203" t="s">
        <v>276</v>
      </c>
    </row>
    <row r="196" spans="1:17" s="204" customFormat="1">
      <c r="A196" s="13">
        <v>196</v>
      </c>
      <c r="B196" s="202" t="s">
        <v>2005</v>
      </c>
      <c r="C196" s="202" t="s">
        <v>2006</v>
      </c>
      <c r="D196" s="202" t="s">
        <v>2007</v>
      </c>
      <c r="E196" s="202" t="s">
        <v>2008</v>
      </c>
      <c r="F196" s="222">
        <f t="shared" si="24"/>
        <v>12</v>
      </c>
      <c r="G196" s="223" t="str">
        <f t="shared" si="25"/>
        <v>2</v>
      </c>
      <c r="H196" s="224">
        <f t="shared" si="26"/>
        <v>2</v>
      </c>
      <c r="I196" s="223" t="str">
        <f t="shared" si="27"/>
        <v>54 min.</v>
      </c>
      <c r="J196" s="223" t="str">
        <f t="shared" si="28"/>
        <v>54</v>
      </c>
      <c r="K196" s="224">
        <f t="shared" si="29"/>
        <v>54</v>
      </c>
      <c r="L196" s="223" t="str">
        <f t="shared" si="30"/>
        <v>2:54</v>
      </c>
      <c r="M196" s="225">
        <f t="shared" si="31"/>
        <v>0.12083333333333333</v>
      </c>
      <c r="N196" s="203" t="s">
        <v>1999</v>
      </c>
      <c r="O196" s="202" t="s">
        <v>350</v>
      </c>
      <c r="P196" s="203" t="s">
        <v>304</v>
      </c>
      <c r="Q196" s="203" t="s">
        <v>276</v>
      </c>
    </row>
    <row r="197" spans="1:17" s="204" customFormat="1">
      <c r="A197" s="13">
        <v>197</v>
      </c>
      <c r="B197" s="202" t="s">
        <v>2017</v>
      </c>
      <c r="C197" s="202" t="s">
        <v>2018</v>
      </c>
      <c r="D197" s="202" t="s">
        <v>2019</v>
      </c>
      <c r="E197" s="202" t="s">
        <v>2020</v>
      </c>
      <c r="F197" s="222">
        <f t="shared" si="24"/>
        <v>13</v>
      </c>
      <c r="G197" s="223" t="str">
        <f t="shared" si="25"/>
        <v>10</v>
      </c>
      <c r="H197" s="224">
        <f t="shared" si="26"/>
        <v>10</v>
      </c>
      <c r="I197" s="223" t="str">
        <f t="shared" si="27"/>
        <v>20 min.</v>
      </c>
      <c r="J197" s="223" t="str">
        <f t="shared" si="28"/>
        <v>20</v>
      </c>
      <c r="K197" s="224">
        <f t="shared" si="29"/>
        <v>20</v>
      </c>
      <c r="L197" s="223" t="str">
        <f t="shared" si="30"/>
        <v>10:20</v>
      </c>
      <c r="M197" s="225">
        <f t="shared" si="31"/>
        <v>0.43055555555555558</v>
      </c>
      <c r="N197" s="203" t="s">
        <v>407</v>
      </c>
      <c r="O197" s="202" t="s">
        <v>1288</v>
      </c>
      <c r="P197" s="203" t="s">
        <v>304</v>
      </c>
      <c r="Q197" s="203" t="s">
        <v>276</v>
      </c>
    </row>
    <row r="198" spans="1:17" s="204" customFormat="1">
      <c r="A198" s="13">
        <v>198</v>
      </c>
      <c r="B198" s="202" t="s">
        <v>2021</v>
      </c>
      <c r="C198" s="202" t="s">
        <v>873</v>
      </c>
      <c r="D198" s="202" t="s">
        <v>2022</v>
      </c>
      <c r="E198" s="202" t="s">
        <v>2023</v>
      </c>
      <c r="F198" s="222">
        <f t="shared" si="24"/>
        <v>13</v>
      </c>
      <c r="G198" s="223" t="str">
        <f t="shared" si="25"/>
        <v>12</v>
      </c>
      <c r="H198" s="224">
        <f t="shared" si="26"/>
        <v>12</v>
      </c>
      <c r="I198" s="223" t="str">
        <f t="shared" si="27"/>
        <v>17 min.</v>
      </c>
      <c r="J198" s="223" t="str">
        <f t="shared" si="28"/>
        <v>17</v>
      </c>
      <c r="K198" s="224">
        <f t="shared" si="29"/>
        <v>17</v>
      </c>
      <c r="L198" s="223" t="str">
        <f t="shared" si="30"/>
        <v>12:17</v>
      </c>
      <c r="M198" s="225">
        <f t="shared" si="31"/>
        <v>0.51180555555555551</v>
      </c>
      <c r="N198" s="203" t="s">
        <v>438</v>
      </c>
      <c r="O198" s="202" t="s">
        <v>274</v>
      </c>
      <c r="P198" s="203" t="s">
        <v>304</v>
      </c>
      <c r="Q198" s="203" t="s">
        <v>276</v>
      </c>
    </row>
    <row r="199" spans="1:17" s="204" customFormat="1">
      <c r="A199" s="13">
        <v>199</v>
      </c>
      <c r="B199" s="202" t="s">
        <v>2024</v>
      </c>
      <c r="C199" s="202" t="s">
        <v>2025</v>
      </c>
      <c r="D199" s="202" t="s">
        <v>2026</v>
      </c>
      <c r="E199" s="202" t="s">
        <v>2027</v>
      </c>
      <c r="F199" s="222">
        <f t="shared" si="24"/>
        <v>12</v>
      </c>
      <c r="G199" s="223" t="str">
        <f t="shared" si="25"/>
        <v>8</v>
      </c>
      <c r="H199" s="224">
        <f t="shared" si="26"/>
        <v>8</v>
      </c>
      <c r="I199" s="223" t="str">
        <f t="shared" si="27"/>
        <v>54 min.</v>
      </c>
      <c r="J199" s="223" t="str">
        <f t="shared" si="28"/>
        <v>54</v>
      </c>
      <c r="K199" s="224">
        <f t="shared" si="29"/>
        <v>54</v>
      </c>
      <c r="L199" s="223" t="str">
        <f t="shared" si="30"/>
        <v>8:54</v>
      </c>
      <c r="M199" s="225">
        <f t="shared" si="31"/>
        <v>0.37083333333333335</v>
      </c>
      <c r="N199" s="203" t="s">
        <v>423</v>
      </c>
      <c r="O199" s="202" t="s">
        <v>303</v>
      </c>
      <c r="P199" s="203" t="s">
        <v>304</v>
      </c>
      <c r="Q199" s="203" t="s">
        <v>276</v>
      </c>
    </row>
    <row r="200" spans="1:17" s="204" customFormat="1">
      <c r="A200" s="13">
        <v>200</v>
      </c>
      <c r="B200" s="202" t="s">
        <v>2028</v>
      </c>
      <c r="C200" s="202" t="s">
        <v>1535</v>
      </c>
      <c r="D200" s="202" t="s">
        <v>2029</v>
      </c>
      <c r="E200" s="202" t="s">
        <v>2030</v>
      </c>
      <c r="F200" s="222">
        <f t="shared" si="24"/>
        <v>13</v>
      </c>
      <c r="G200" s="223" t="str">
        <f t="shared" si="25"/>
        <v>29</v>
      </c>
      <c r="H200" s="224">
        <f t="shared" si="26"/>
        <v>29</v>
      </c>
      <c r="I200" s="223" t="str">
        <f t="shared" si="27"/>
        <v>17 min.</v>
      </c>
      <c r="J200" s="223" t="str">
        <f t="shared" si="28"/>
        <v>17</v>
      </c>
      <c r="K200" s="224">
        <f t="shared" si="29"/>
        <v>17</v>
      </c>
      <c r="L200" s="223" t="str">
        <f t="shared" si="30"/>
        <v>29:17</v>
      </c>
      <c r="M200" s="225">
        <f t="shared" si="31"/>
        <v>1.2201388888888889</v>
      </c>
      <c r="N200" s="203" t="s">
        <v>396</v>
      </c>
      <c r="O200" s="202" t="s">
        <v>496</v>
      </c>
      <c r="P200" s="203" t="s">
        <v>304</v>
      </c>
      <c r="Q200" s="203" t="s">
        <v>276</v>
      </c>
    </row>
    <row r="201" spans="1:17" s="204" customFormat="1">
      <c r="A201" s="13">
        <v>201</v>
      </c>
      <c r="B201" s="202" t="s">
        <v>2031</v>
      </c>
      <c r="C201" s="202" t="s">
        <v>2032</v>
      </c>
      <c r="D201" s="202" t="s">
        <v>2033</v>
      </c>
      <c r="E201" s="202" t="s">
        <v>2034</v>
      </c>
      <c r="F201" s="222">
        <f t="shared" si="24"/>
        <v>12</v>
      </c>
      <c r="G201" s="223" t="str">
        <f t="shared" si="25"/>
        <v>3</v>
      </c>
      <c r="H201" s="224">
        <f t="shared" si="26"/>
        <v>3</v>
      </c>
      <c r="I201" s="223" t="str">
        <f t="shared" si="27"/>
        <v>21 min.</v>
      </c>
      <c r="J201" s="223" t="str">
        <f t="shared" si="28"/>
        <v>21</v>
      </c>
      <c r="K201" s="224">
        <f t="shared" si="29"/>
        <v>21</v>
      </c>
      <c r="L201" s="223" t="str">
        <f t="shared" si="30"/>
        <v>3:21</v>
      </c>
      <c r="M201" s="225">
        <f t="shared" si="31"/>
        <v>0.13958333333333334</v>
      </c>
      <c r="N201" s="203" t="s">
        <v>521</v>
      </c>
      <c r="O201" s="202" t="s">
        <v>310</v>
      </c>
      <c r="P201" s="203" t="s">
        <v>304</v>
      </c>
      <c r="Q201" s="203" t="s">
        <v>276</v>
      </c>
    </row>
    <row r="202" spans="1:17" s="204" customFormat="1">
      <c r="A202" s="13">
        <v>202</v>
      </c>
      <c r="B202" s="202" t="s">
        <v>2035</v>
      </c>
      <c r="C202" s="202" t="s">
        <v>2036</v>
      </c>
      <c r="D202" s="202" t="s">
        <v>2037</v>
      </c>
      <c r="E202" s="202" t="s">
        <v>2038</v>
      </c>
      <c r="F202" s="222">
        <f t="shared" si="24"/>
        <v>12</v>
      </c>
      <c r="G202" s="223" t="str">
        <f t="shared" si="25"/>
        <v>3</v>
      </c>
      <c r="H202" s="224">
        <f t="shared" si="26"/>
        <v>3</v>
      </c>
      <c r="I202" s="223" t="str">
        <f t="shared" si="27"/>
        <v>02 min.</v>
      </c>
      <c r="J202" s="223" t="str">
        <f t="shared" si="28"/>
        <v>02</v>
      </c>
      <c r="K202" s="224">
        <f t="shared" si="29"/>
        <v>2</v>
      </c>
      <c r="L202" s="223" t="str">
        <f t="shared" si="30"/>
        <v>3:2</v>
      </c>
      <c r="M202" s="225">
        <f t="shared" si="31"/>
        <v>0.12638888888888888</v>
      </c>
      <c r="N202" s="203" t="s">
        <v>396</v>
      </c>
      <c r="O202" s="202" t="s">
        <v>321</v>
      </c>
      <c r="P202" s="203" t="s">
        <v>304</v>
      </c>
      <c r="Q202" s="203" t="s">
        <v>276</v>
      </c>
    </row>
    <row r="203" spans="1:17" s="204" customFormat="1">
      <c r="A203" s="13">
        <v>203</v>
      </c>
      <c r="B203" s="202" t="s">
        <v>2039</v>
      </c>
      <c r="C203" s="202" t="s">
        <v>2040</v>
      </c>
      <c r="D203" s="202" t="s">
        <v>2041</v>
      </c>
      <c r="E203" s="202" t="s">
        <v>615</v>
      </c>
      <c r="F203" s="222">
        <f t="shared" si="24"/>
        <v>12</v>
      </c>
      <c r="G203" s="223" t="str">
        <f t="shared" si="25"/>
        <v>5</v>
      </c>
      <c r="H203" s="224">
        <f t="shared" si="26"/>
        <v>5</v>
      </c>
      <c r="I203" s="223" t="str">
        <f t="shared" si="27"/>
        <v>28 min.</v>
      </c>
      <c r="J203" s="223" t="str">
        <f t="shared" si="28"/>
        <v>28</v>
      </c>
      <c r="K203" s="224">
        <f t="shared" si="29"/>
        <v>28</v>
      </c>
      <c r="L203" s="223" t="str">
        <f t="shared" si="30"/>
        <v>5:28</v>
      </c>
      <c r="M203" s="225">
        <f t="shared" si="31"/>
        <v>0.22777777777777777</v>
      </c>
      <c r="N203" s="203" t="s">
        <v>880</v>
      </c>
      <c r="O203" s="202" t="s">
        <v>303</v>
      </c>
      <c r="P203" s="203" t="s">
        <v>304</v>
      </c>
      <c r="Q203" s="203" t="s">
        <v>276</v>
      </c>
    </row>
    <row r="204" spans="1:17" s="204" customFormat="1">
      <c r="A204" s="13">
        <v>204</v>
      </c>
      <c r="B204" s="202" t="s">
        <v>2046</v>
      </c>
      <c r="C204" s="202" t="s">
        <v>2047</v>
      </c>
      <c r="D204" s="202" t="s">
        <v>2048</v>
      </c>
      <c r="E204" s="202" t="s">
        <v>375</v>
      </c>
      <c r="F204" s="222">
        <f t="shared" si="24"/>
        <v>12</v>
      </c>
      <c r="G204" s="223" t="str">
        <f t="shared" si="25"/>
        <v>3</v>
      </c>
      <c r="H204" s="224">
        <f t="shared" si="26"/>
        <v>3</v>
      </c>
      <c r="I204" s="223" t="str">
        <f t="shared" si="27"/>
        <v>57 min.</v>
      </c>
      <c r="J204" s="223" t="str">
        <f t="shared" si="28"/>
        <v>57</v>
      </c>
      <c r="K204" s="224">
        <f t="shared" si="29"/>
        <v>57</v>
      </c>
      <c r="L204" s="223" t="str">
        <f t="shared" si="30"/>
        <v>3:57</v>
      </c>
      <c r="M204" s="225">
        <f t="shared" si="31"/>
        <v>0.16458333333333333</v>
      </c>
      <c r="N204" s="203" t="s">
        <v>1475</v>
      </c>
      <c r="O204" s="202" t="s">
        <v>303</v>
      </c>
      <c r="P204" s="203" t="s">
        <v>304</v>
      </c>
      <c r="Q204" s="203" t="s">
        <v>276</v>
      </c>
    </row>
    <row r="205" spans="1:17" s="204" customFormat="1">
      <c r="A205" s="13">
        <v>205</v>
      </c>
      <c r="B205" s="202" t="s">
        <v>2049</v>
      </c>
      <c r="C205" s="202" t="s">
        <v>2050</v>
      </c>
      <c r="D205" s="202" t="s">
        <v>2051</v>
      </c>
      <c r="E205" s="202" t="s">
        <v>647</v>
      </c>
      <c r="F205" s="222">
        <f t="shared" si="24"/>
        <v>12</v>
      </c>
      <c r="G205" s="223" t="str">
        <f t="shared" si="25"/>
        <v>6</v>
      </c>
      <c r="H205" s="224">
        <f t="shared" si="26"/>
        <v>6</v>
      </c>
      <c r="I205" s="223" t="str">
        <f t="shared" si="27"/>
        <v>18 min.</v>
      </c>
      <c r="J205" s="223" t="str">
        <f t="shared" si="28"/>
        <v>18</v>
      </c>
      <c r="K205" s="224">
        <f t="shared" si="29"/>
        <v>18</v>
      </c>
      <c r="L205" s="223" t="str">
        <f t="shared" si="30"/>
        <v>6:18</v>
      </c>
      <c r="M205" s="225">
        <f t="shared" si="31"/>
        <v>0.26250000000000001</v>
      </c>
      <c r="N205" s="203" t="s">
        <v>477</v>
      </c>
      <c r="O205" s="202" t="s">
        <v>303</v>
      </c>
      <c r="P205" s="203" t="s">
        <v>304</v>
      </c>
      <c r="Q205" s="203" t="s">
        <v>276</v>
      </c>
    </row>
    <row r="206" spans="1:17" s="204" customFormat="1">
      <c r="A206" s="13">
        <v>206</v>
      </c>
      <c r="B206" s="202" t="s">
        <v>2057</v>
      </c>
      <c r="C206" s="202" t="s">
        <v>2058</v>
      </c>
      <c r="D206" s="202" t="s">
        <v>2059</v>
      </c>
      <c r="E206" s="202" t="s">
        <v>937</v>
      </c>
      <c r="F206" s="222">
        <f t="shared" si="24"/>
        <v>12</v>
      </c>
      <c r="G206" s="223" t="str">
        <f t="shared" si="25"/>
        <v>5</v>
      </c>
      <c r="H206" s="224">
        <f t="shared" si="26"/>
        <v>5</v>
      </c>
      <c r="I206" s="223" t="str">
        <f t="shared" si="27"/>
        <v>58 min.</v>
      </c>
      <c r="J206" s="223" t="str">
        <f t="shared" si="28"/>
        <v>58</v>
      </c>
      <c r="K206" s="224">
        <f t="shared" si="29"/>
        <v>58</v>
      </c>
      <c r="L206" s="223" t="str">
        <f t="shared" si="30"/>
        <v>5:58</v>
      </c>
      <c r="M206" s="225">
        <f t="shared" si="31"/>
        <v>0.24861111111111112</v>
      </c>
      <c r="N206" s="203" t="s">
        <v>643</v>
      </c>
      <c r="O206" s="202" t="s">
        <v>811</v>
      </c>
      <c r="P206" s="203" t="s">
        <v>304</v>
      </c>
      <c r="Q206" s="203" t="s">
        <v>276</v>
      </c>
    </row>
    <row r="207" spans="1:17" s="204" customFormat="1">
      <c r="A207" s="13">
        <v>207</v>
      </c>
      <c r="B207" s="202" t="s">
        <v>2060</v>
      </c>
      <c r="C207" s="202" t="s">
        <v>2061</v>
      </c>
      <c r="D207" s="202" t="s">
        <v>2062</v>
      </c>
      <c r="E207" s="202" t="s">
        <v>1708</v>
      </c>
      <c r="F207" s="222">
        <f t="shared" si="24"/>
        <v>13</v>
      </c>
      <c r="G207" s="223" t="str">
        <f t="shared" si="25"/>
        <v>12</v>
      </c>
      <c r="H207" s="224">
        <f t="shared" si="26"/>
        <v>12</v>
      </c>
      <c r="I207" s="223" t="str">
        <f t="shared" si="27"/>
        <v>23 min.</v>
      </c>
      <c r="J207" s="223" t="str">
        <f t="shared" si="28"/>
        <v>23</v>
      </c>
      <c r="K207" s="224">
        <f t="shared" si="29"/>
        <v>23</v>
      </c>
      <c r="L207" s="223" t="str">
        <f t="shared" si="30"/>
        <v>12:23</v>
      </c>
      <c r="M207" s="225">
        <f t="shared" si="31"/>
        <v>0.51597222222222217</v>
      </c>
      <c r="N207" s="203" t="s">
        <v>2063</v>
      </c>
      <c r="O207" s="202" t="s">
        <v>292</v>
      </c>
      <c r="P207" s="203" t="s">
        <v>304</v>
      </c>
      <c r="Q207" s="203" t="s">
        <v>276</v>
      </c>
    </row>
    <row r="208" spans="1:17" s="204" customFormat="1">
      <c r="A208" s="13">
        <v>208</v>
      </c>
      <c r="B208" s="202" t="s">
        <v>2064</v>
      </c>
      <c r="C208" s="202" t="s">
        <v>2065</v>
      </c>
      <c r="D208" s="202" t="s">
        <v>2066</v>
      </c>
      <c r="E208" s="202" t="s">
        <v>2067</v>
      </c>
      <c r="F208" s="222">
        <f t="shared" si="24"/>
        <v>12</v>
      </c>
      <c r="G208" s="223" t="str">
        <f t="shared" si="25"/>
        <v>7</v>
      </c>
      <c r="H208" s="224">
        <f t="shared" si="26"/>
        <v>7</v>
      </c>
      <c r="I208" s="223" t="str">
        <f t="shared" si="27"/>
        <v>22 min.</v>
      </c>
      <c r="J208" s="223" t="str">
        <f t="shared" si="28"/>
        <v>22</v>
      </c>
      <c r="K208" s="224">
        <f t="shared" si="29"/>
        <v>22</v>
      </c>
      <c r="L208" s="223" t="str">
        <f t="shared" si="30"/>
        <v>7:22</v>
      </c>
      <c r="M208" s="225">
        <f t="shared" si="31"/>
        <v>0.30694444444444441</v>
      </c>
      <c r="N208" s="203" t="s">
        <v>376</v>
      </c>
      <c r="O208" s="202" t="s">
        <v>536</v>
      </c>
      <c r="P208" s="203" t="s">
        <v>304</v>
      </c>
      <c r="Q208" s="203" t="s">
        <v>276</v>
      </c>
    </row>
    <row r="209" spans="1:17" s="204" customFormat="1">
      <c r="A209" s="13">
        <v>209</v>
      </c>
      <c r="B209" s="202" t="s">
        <v>2068</v>
      </c>
      <c r="C209" s="202" t="s">
        <v>982</v>
      </c>
      <c r="D209" s="202" t="s">
        <v>2069</v>
      </c>
      <c r="E209" s="202" t="s">
        <v>996</v>
      </c>
      <c r="F209" s="222">
        <f t="shared" si="24"/>
        <v>12</v>
      </c>
      <c r="G209" s="223" t="str">
        <f t="shared" si="25"/>
        <v>1</v>
      </c>
      <c r="H209" s="224">
        <f t="shared" si="26"/>
        <v>1</v>
      </c>
      <c r="I209" s="223" t="str">
        <f t="shared" si="27"/>
        <v>57 min.</v>
      </c>
      <c r="J209" s="223" t="str">
        <f t="shared" si="28"/>
        <v>57</v>
      </c>
      <c r="K209" s="224">
        <f t="shared" si="29"/>
        <v>57</v>
      </c>
      <c r="L209" s="223" t="str">
        <f t="shared" si="30"/>
        <v>1:57</v>
      </c>
      <c r="M209" s="225">
        <f t="shared" si="31"/>
        <v>8.1250000000000003E-2</v>
      </c>
      <c r="N209" s="203" t="s">
        <v>959</v>
      </c>
      <c r="O209" s="202" t="s">
        <v>843</v>
      </c>
      <c r="P209" s="203" t="s">
        <v>304</v>
      </c>
      <c r="Q209" s="203" t="s">
        <v>276</v>
      </c>
    </row>
    <row r="210" spans="1:17" s="204" customFormat="1">
      <c r="A210" s="13">
        <v>210</v>
      </c>
      <c r="B210" s="202" t="s">
        <v>2070</v>
      </c>
      <c r="C210" s="202" t="s">
        <v>2071</v>
      </c>
      <c r="D210" s="202" t="s">
        <v>2072</v>
      </c>
      <c r="E210" s="202" t="s">
        <v>2073</v>
      </c>
      <c r="F210" s="222">
        <f t="shared" si="24"/>
        <v>12</v>
      </c>
      <c r="G210" s="223" t="str">
        <f t="shared" si="25"/>
        <v>1</v>
      </c>
      <c r="H210" s="224">
        <f t="shared" si="26"/>
        <v>1</v>
      </c>
      <c r="I210" s="223" t="str">
        <f t="shared" si="27"/>
        <v>06 min.</v>
      </c>
      <c r="J210" s="223" t="str">
        <f t="shared" si="28"/>
        <v>06</v>
      </c>
      <c r="K210" s="224">
        <f t="shared" si="29"/>
        <v>6</v>
      </c>
      <c r="L210" s="223" t="str">
        <f t="shared" si="30"/>
        <v>1:6</v>
      </c>
      <c r="M210" s="225">
        <f t="shared" si="31"/>
        <v>4.5833333333333337E-2</v>
      </c>
      <c r="N210" s="203" t="s">
        <v>2074</v>
      </c>
      <c r="O210" s="202" t="s">
        <v>310</v>
      </c>
      <c r="P210" s="203" t="s">
        <v>304</v>
      </c>
      <c r="Q210" s="203" t="s">
        <v>276</v>
      </c>
    </row>
    <row r="211" spans="1:17" s="204" customFormat="1">
      <c r="A211" s="13">
        <v>211</v>
      </c>
      <c r="B211" s="202" t="s">
        <v>2075</v>
      </c>
      <c r="C211" s="202" t="s">
        <v>2076</v>
      </c>
      <c r="D211" s="202" t="s">
        <v>2077</v>
      </c>
      <c r="E211" s="202" t="s">
        <v>2078</v>
      </c>
      <c r="F211" s="222">
        <f t="shared" si="24"/>
        <v>12</v>
      </c>
      <c r="G211" s="223" t="str">
        <f t="shared" si="25"/>
        <v>3</v>
      </c>
      <c r="H211" s="224">
        <f t="shared" si="26"/>
        <v>3</v>
      </c>
      <c r="I211" s="223" t="str">
        <f t="shared" si="27"/>
        <v>38 min.</v>
      </c>
      <c r="J211" s="223" t="str">
        <f t="shared" si="28"/>
        <v>38</v>
      </c>
      <c r="K211" s="224">
        <f t="shared" si="29"/>
        <v>38</v>
      </c>
      <c r="L211" s="223" t="str">
        <f t="shared" si="30"/>
        <v>3:38</v>
      </c>
      <c r="M211" s="225">
        <f t="shared" si="31"/>
        <v>0.15138888888888888</v>
      </c>
      <c r="N211" s="203" t="s">
        <v>359</v>
      </c>
      <c r="O211" s="202" t="s">
        <v>292</v>
      </c>
      <c r="P211" s="203" t="s">
        <v>304</v>
      </c>
      <c r="Q211" s="203" t="s">
        <v>276</v>
      </c>
    </row>
    <row r="212" spans="1:17" s="204" customFormat="1">
      <c r="A212" s="13">
        <v>212</v>
      </c>
      <c r="B212" s="202" t="s">
        <v>2079</v>
      </c>
      <c r="C212" s="202" t="s">
        <v>2080</v>
      </c>
      <c r="D212" s="202" t="s">
        <v>2081</v>
      </c>
      <c r="E212" s="202" t="s">
        <v>2082</v>
      </c>
      <c r="F212" s="222">
        <f t="shared" si="24"/>
        <v>13</v>
      </c>
      <c r="G212" s="223" t="str">
        <f t="shared" si="25"/>
        <v xml:space="preserve">7 </v>
      </c>
      <c r="H212" s="224">
        <f t="shared" si="26"/>
        <v>7</v>
      </c>
      <c r="I212" s="223" t="str">
        <f t="shared" si="27"/>
        <v>06 min.</v>
      </c>
      <c r="J212" s="223" t="str">
        <f t="shared" si="28"/>
        <v>06</v>
      </c>
      <c r="K212" s="224">
        <f t="shared" si="29"/>
        <v>6</v>
      </c>
      <c r="L212" s="223" t="str">
        <f t="shared" si="30"/>
        <v>7:6</v>
      </c>
      <c r="M212" s="225">
        <f t="shared" si="31"/>
        <v>0.29583333333333334</v>
      </c>
      <c r="N212" s="203" t="s">
        <v>968</v>
      </c>
      <c r="O212" s="202" t="s">
        <v>343</v>
      </c>
      <c r="P212" s="203" t="s">
        <v>304</v>
      </c>
      <c r="Q212" s="203" t="s">
        <v>276</v>
      </c>
    </row>
    <row r="213" spans="1:17" s="204" customFormat="1">
      <c r="A213" s="13">
        <v>213</v>
      </c>
      <c r="B213" s="202" t="s">
        <v>2083</v>
      </c>
      <c r="C213" s="202" t="s">
        <v>1340</v>
      </c>
      <c r="D213" s="202" t="s">
        <v>2084</v>
      </c>
      <c r="E213" s="202" t="s">
        <v>2085</v>
      </c>
      <c r="F213" s="222">
        <f t="shared" si="24"/>
        <v>12</v>
      </c>
      <c r="G213" s="223" t="str">
        <f t="shared" si="25"/>
        <v>8</v>
      </c>
      <c r="H213" s="224">
        <f t="shared" si="26"/>
        <v>8</v>
      </c>
      <c r="I213" s="223" t="str">
        <f t="shared" si="27"/>
        <v>52 min.</v>
      </c>
      <c r="J213" s="223" t="str">
        <f t="shared" si="28"/>
        <v>52</v>
      </c>
      <c r="K213" s="224">
        <f t="shared" si="29"/>
        <v>52</v>
      </c>
      <c r="L213" s="223" t="str">
        <f t="shared" si="30"/>
        <v>8:52</v>
      </c>
      <c r="M213" s="225">
        <f t="shared" si="31"/>
        <v>0.36944444444444446</v>
      </c>
      <c r="N213" s="203" t="s">
        <v>531</v>
      </c>
      <c r="O213" s="202" t="s">
        <v>274</v>
      </c>
      <c r="P213" s="203" t="s">
        <v>304</v>
      </c>
      <c r="Q213" s="203" t="s">
        <v>276</v>
      </c>
    </row>
    <row r="214" spans="1:17" s="204" customFormat="1">
      <c r="A214" s="13">
        <v>214</v>
      </c>
      <c r="B214" s="202" t="s">
        <v>2086</v>
      </c>
      <c r="C214" s="202" t="s">
        <v>2087</v>
      </c>
      <c r="D214" s="202" t="s">
        <v>2088</v>
      </c>
      <c r="E214" s="202" t="s">
        <v>2089</v>
      </c>
      <c r="F214" s="222">
        <f t="shared" si="24"/>
        <v>12</v>
      </c>
      <c r="G214" s="223" t="str">
        <f t="shared" si="25"/>
        <v>2</v>
      </c>
      <c r="H214" s="224">
        <f t="shared" si="26"/>
        <v>2</v>
      </c>
      <c r="I214" s="223" t="str">
        <f t="shared" si="27"/>
        <v>47 min.</v>
      </c>
      <c r="J214" s="223" t="str">
        <f t="shared" si="28"/>
        <v>47</v>
      </c>
      <c r="K214" s="224">
        <f t="shared" si="29"/>
        <v>47</v>
      </c>
      <c r="L214" s="223" t="str">
        <f t="shared" si="30"/>
        <v>2:47</v>
      </c>
      <c r="M214" s="225">
        <f t="shared" si="31"/>
        <v>0.11597222222222221</v>
      </c>
      <c r="N214" s="203" t="s">
        <v>526</v>
      </c>
      <c r="O214" s="202" t="s">
        <v>303</v>
      </c>
      <c r="P214" s="203" t="s">
        <v>304</v>
      </c>
      <c r="Q214" s="203" t="s">
        <v>276</v>
      </c>
    </row>
    <row r="215" spans="1:17" s="204" customFormat="1">
      <c r="A215" s="13">
        <v>215</v>
      </c>
      <c r="B215" s="202" t="s">
        <v>2090</v>
      </c>
      <c r="C215" s="202" t="s">
        <v>2091</v>
      </c>
      <c r="D215" s="202" t="s">
        <v>2092</v>
      </c>
      <c r="E215" s="202" t="s">
        <v>740</v>
      </c>
      <c r="F215" s="222">
        <f t="shared" si="24"/>
        <v>12</v>
      </c>
      <c r="G215" s="223" t="str">
        <f t="shared" si="25"/>
        <v>7</v>
      </c>
      <c r="H215" s="224">
        <f t="shared" si="26"/>
        <v>7</v>
      </c>
      <c r="I215" s="223" t="str">
        <f t="shared" si="27"/>
        <v>41 min.</v>
      </c>
      <c r="J215" s="223" t="str">
        <f t="shared" si="28"/>
        <v>41</v>
      </c>
      <c r="K215" s="224">
        <f t="shared" si="29"/>
        <v>41</v>
      </c>
      <c r="L215" s="223" t="str">
        <f t="shared" si="30"/>
        <v>7:41</v>
      </c>
      <c r="M215" s="225">
        <f t="shared" si="31"/>
        <v>0.32013888888888892</v>
      </c>
      <c r="N215" s="203" t="s">
        <v>924</v>
      </c>
      <c r="O215" s="202" t="s">
        <v>413</v>
      </c>
      <c r="P215" s="203" t="s">
        <v>304</v>
      </c>
      <c r="Q215" s="203" t="s">
        <v>276</v>
      </c>
    </row>
    <row r="216" spans="1:17" s="204" customFormat="1">
      <c r="A216" s="13">
        <v>216</v>
      </c>
      <c r="B216" s="202" t="s">
        <v>2093</v>
      </c>
      <c r="C216" s="202" t="s">
        <v>2094</v>
      </c>
      <c r="D216" s="202" t="s">
        <v>2095</v>
      </c>
      <c r="E216" s="202" t="s">
        <v>2096</v>
      </c>
      <c r="F216" s="222">
        <f t="shared" si="24"/>
        <v>12</v>
      </c>
      <c r="G216" s="223" t="str">
        <f t="shared" si="25"/>
        <v>3</v>
      </c>
      <c r="H216" s="224">
        <f t="shared" si="26"/>
        <v>3</v>
      </c>
      <c r="I216" s="223" t="str">
        <f t="shared" si="27"/>
        <v>51 min.</v>
      </c>
      <c r="J216" s="223" t="str">
        <f t="shared" si="28"/>
        <v>51</v>
      </c>
      <c r="K216" s="224">
        <f t="shared" si="29"/>
        <v>51</v>
      </c>
      <c r="L216" s="223" t="str">
        <f t="shared" si="30"/>
        <v>3:51</v>
      </c>
      <c r="M216" s="225">
        <f t="shared" si="31"/>
        <v>0.16041666666666668</v>
      </c>
      <c r="N216" s="203" t="s">
        <v>433</v>
      </c>
      <c r="O216" s="202" t="s">
        <v>303</v>
      </c>
      <c r="P216" s="203" t="s">
        <v>304</v>
      </c>
      <c r="Q216" s="203" t="s">
        <v>276</v>
      </c>
    </row>
    <row r="217" spans="1:17" s="204" customFormat="1">
      <c r="A217" s="13">
        <v>217</v>
      </c>
      <c r="B217" s="202" t="s">
        <v>2097</v>
      </c>
      <c r="C217" s="202" t="s">
        <v>2098</v>
      </c>
      <c r="D217" s="202" t="s">
        <v>2099</v>
      </c>
      <c r="E217" s="202" t="s">
        <v>954</v>
      </c>
      <c r="F217" s="222">
        <f t="shared" si="24"/>
        <v>12</v>
      </c>
      <c r="G217" s="223" t="str">
        <f t="shared" si="25"/>
        <v>4</v>
      </c>
      <c r="H217" s="224">
        <f t="shared" si="26"/>
        <v>4</v>
      </c>
      <c r="I217" s="223" t="str">
        <f t="shared" si="27"/>
        <v>58 min.</v>
      </c>
      <c r="J217" s="223" t="str">
        <f t="shared" si="28"/>
        <v>58</v>
      </c>
      <c r="K217" s="224">
        <f t="shared" si="29"/>
        <v>58</v>
      </c>
      <c r="L217" s="223" t="str">
        <f t="shared" si="30"/>
        <v>4:58</v>
      </c>
      <c r="M217" s="225">
        <f t="shared" si="31"/>
        <v>0.20694444444444446</v>
      </c>
      <c r="N217" s="203" t="s">
        <v>959</v>
      </c>
      <c r="O217" s="202" t="s">
        <v>303</v>
      </c>
      <c r="P217" s="203" t="s">
        <v>304</v>
      </c>
      <c r="Q217" s="203" t="s">
        <v>276</v>
      </c>
    </row>
    <row r="218" spans="1:17" s="204" customFormat="1">
      <c r="A218" s="13">
        <v>218</v>
      </c>
      <c r="B218" s="202" t="s">
        <v>2100</v>
      </c>
      <c r="C218" s="202" t="s">
        <v>2101</v>
      </c>
      <c r="D218" s="202" t="s">
        <v>2102</v>
      </c>
      <c r="E218" s="202" t="s">
        <v>949</v>
      </c>
      <c r="F218" s="222">
        <f t="shared" si="24"/>
        <v>12</v>
      </c>
      <c r="G218" s="223" t="str">
        <f t="shared" si="25"/>
        <v>5</v>
      </c>
      <c r="H218" s="224">
        <f t="shared" si="26"/>
        <v>5</v>
      </c>
      <c r="I218" s="223" t="str">
        <f t="shared" si="27"/>
        <v>20 min.</v>
      </c>
      <c r="J218" s="223" t="str">
        <f t="shared" si="28"/>
        <v>20</v>
      </c>
      <c r="K218" s="224">
        <f t="shared" si="29"/>
        <v>20</v>
      </c>
      <c r="L218" s="223" t="str">
        <f t="shared" si="30"/>
        <v>5:20</v>
      </c>
      <c r="M218" s="225">
        <f t="shared" si="31"/>
        <v>0.22222222222222221</v>
      </c>
      <c r="N218" s="203" t="s">
        <v>2103</v>
      </c>
      <c r="O218" s="202" t="s">
        <v>303</v>
      </c>
      <c r="P218" s="203" t="s">
        <v>304</v>
      </c>
      <c r="Q218" s="203" t="s">
        <v>276</v>
      </c>
    </row>
    <row r="219" spans="1:17" s="204" customFormat="1">
      <c r="A219" s="13">
        <v>219</v>
      </c>
      <c r="B219" s="202" t="s">
        <v>2104</v>
      </c>
      <c r="C219" s="202" t="s">
        <v>2105</v>
      </c>
      <c r="D219" s="202" t="s">
        <v>2106</v>
      </c>
      <c r="E219" s="202" t="s">
        <v>2107</v>
      </c>
      <c r="F219" s="222">
        <f t="shared" si="24"/>
        <v>12</v>
      </c>
      <c r="G219" s="223" t="str">
        <f t="shared" si="25"/>
        <v>1</v>
      </c>
      <c r="H219" s="224">
        <f t="shared" si="26"/>
        <v>1</v>
      </c>
      <c r="I219" s="223" t="str">
        <f t="shared" si="27"/>
        <v>36 min.</v>
      </c>
      <c r="J219" s="223" t="str">
        <f t="shared" si="28"/>
        <v>36</v>
      </c>
      <c r="K219" s="224">
        <f t="shared" si="29"/>
        <v>36</v>
      </c>
      <c r="L219" s="223" t="str">
        <f t="shared" si="30"/>
        <v>1:36</v>
      </c>
      <c r="M219" s="225">
        <f t="shared" si="31"/>
        <v>6.6666666666666666E-2</v>
      </c>
      <c r="N219" s="203" t="s">
        <v>407</v>
      </c>
      <c r="O219" s="202" t="s">
        <v>459</v>
      </c>
      <c r="P219" s="203" t="s">
        <v>304</v>
      </c>
      <c r="Q219" s="203" t="s">
        <v>276</v>
      </c>
    </row>
    <row r="220" spans="1:17" s="204" customFormat="1">
      <c r="A220" s="13">
        <v>220</v>
      </c>
      <c r="B220" s="202" t="s">
        <v>2108</v>
      </c>
      <c r="C220" s="202" t="s">
        <v>2109</v>
      </c>
      <c r="D220" s="202" t="s">
        <v>2110</v>
      </c>
      <c r="E220" s="202" t="s">
        <v>2111</v>
      </c>
      <c r="F220" s="222">
        <f t="shared" si="24"/>
        <v>13</v>
      </c>
      <c r="G220" s="223" t="str">
        <f t="shared" si="25"/>
        <v>11</v>
      </c>
      <c r="H220" s="224">
        <f t="shared" si="26"/>
        <v>11</v>
      </c>
      <c r="I220" s="223" t="str">
        <f t="shared" si="27"/>
        <v>07 min.</v>
      </c>
      <c r="J220" s="223" t="str">
        <f t="shared" si="28"/>
        <v>07</v>
      </c>
      <c r="K220" s="224">
        <f t="shared" si="29"/>
        <v>7</v>
      </c>
      <c r="L220" s="223" t="str">
        <f t="shared" si="30"/>
        <v>11:7</v>
      </c>
      <c r="M220" s="225">
        <f t="shared" si="31"/>
        <v>0.46319444444444446</v>
      </c>
      <c r="N220" s="203" t="s">
        <v>1091</v>
      </c>
      <c r="O220" s="202" t="s">
        <v>303</v>
      </c>
      <c r="P220" s="203" t="s">
        <v>304</v>
      </c>
      <c r="Q220" s="203" t="s">
        <v>276</v>
      </c>
    </row>
    <row r="221" spans="1:17" s="204" customFormat="1">
      <c r="A221" s="13">
        <v>221</v>
      </c>
      <c r="B221" s="202" t="s">
        <v>2112</v>
      </c>
      <c r="C221" s="202" t="s">
        <v>2113</v>
      </c>
      <c r="D221" s="202" t="s">
        <v>2114</v>
      </c>
      <c r="E221" s="202" t="s">
        <v>1507</v>
      </c>
      <c r="F221" s="222">
        <f t="shared" si="24"/>
        <v>12</v>
      </c>
      <c r="G221" s="223" t="str">
        <f t="shared" si="25"/>
        <v>3</v>
      </c>
      <c r="H221" s="224">
        <f t="shared" si="26"/>
        <v>3</v>
      </c>
      <c r="I221" s="223" t="str">
        <f t="shared" si="27"/>
        <v>41 min.</v>
      </c>
      <c r="J221" s="223" t="str">
        <f t="shared" si="28"/>
        <v>41</v>
      </c>
      <c r="K221" s="224">
        <f t="shared" si="29"/>
        <v>41</v>
      </c>
      <c r="L221" s="223" t="str">
        <f t="shared" si="30"/>
        <v>3:41</v>
      </c>
      <c r="M221" s="225">
        <f t="shared" si="31"/>
        <v>0.15347222222222223</v>
      </c>
      <c r="N221" s="203" t="s">
        <v>1001</v>
      </c>
      <c r="O221" s="202" t="s">
        <v>350</v>
      </c>
      <c r="P221" s="203" t="s">
        <v>304</v>
      </c>
      <c r="Q221" s="203" t="s">
        <v>276</v>
      </c>
    </row>
    <row r="222" spans="1:17" s="204" customFormat="1">
      <c r="A222" s="13">
        <v>222</v>
      </c>
      <c r="B222" s="202" t="s">
        <v>2115</v>
      </c>
      <c r="C222" s="202" t="s">
        <v>2116</v>
      </c>
      <c r="D222" s="202" t="s">
        <v>2117</v>
      </c>
      <c r="E222" s="202" t="s">
        <v>2118</v>
      </c>
      <c r="F222" s="222">
        <f t="shared" si="24"/>
        <v>12</v>
      </c>
      <c r="G222" s="223" t="str">
        <f t="shared" si="25"/>
        <v>2</v>
      </c>
      <c r="H222" s="224">
        <f t="shared" si="26"/>
        <v>2</v>
      </c>
      <c r="I222" s="223" t="str">
        <f t="shared" si="27"/>
        <v>25 min.</v>
      </c>
      <c r="J222" s="223" t="str">
        <f t="shared" si="28"/>
        <v>25</v>
      </c>
      <c r="K222" s="224">
        <f t="shared" si="29"/>
        <v>25</v>
      </c>
      <c r="L222" s="223" t="str">
        <f t="shared" si="30"/>
        <v>2:25</v>
      </c>
      <c r="M222" s="225">
        <f t="shared" si="31"/>
        <v>0.10069444444444443</v>
      </c>
      <c r="N222" s="203" t="s">
        <v>2119</v>
      </c>
      <c r="O222" s="202" t="s">
        <v>310</v>
      </c>
      <c r="P222" s="203" t="s">
        <v>304</v>
      </c>
      <c r="Q222" s="203" t="s">
        <v>276</v>
      </c>
    </row>
    <row r="223" spans="1:17" s="204" customFormat="1">
      <c r="A223" s="13">
        <v>223</v>
      </c>
      <c r="B223" s="202" t="s">
        <v>2120</v>
      </c>
      <c r="C223" s="202" t="s">
        <v>346</v>
      </c>
      <c r="D223" s="202" t="s">
        <v>2121</v>
      </c>
      <c r="E223" s="202" t="s">
        <v>2122</v>
      </c>
      <c r="F223" s="222">
        <f t="shared" si="24"/>
        <v>13</v>
      </c>
      <c r="G223" s="223" t="str">
        <f t="shared" si="25"/>
        <v>12</v>
      </c>
      <c r="H223" s="224">
        <f t="shared" si="26"/>
        <v>12</v>
      </c>
      <c r="I223" s="223" t="str">
        <f t="shared" si="27"/>
        <v>21 min.</v>
      </c>
      <c r="J223" s="223" t="str">
        <f t="shared" si="28"/>
        <v>21</v>
      </c>
      <c r="K223" s="224">
        <f t="shared" si="29"/>
        <v>21</v>
      </c>
      <c r="L223" s="223" t="str">
        <f t="shared" si="30"/>
        <v>12:21</v>
      </c>
      <c r="M223" s="225">
        <f t="shared" si="31"/>
        <v>0.51458333333333328</v>
      </c>
      <c r="N223" s="203" t="s">
        <v>444</v>
      </c>
      <c r="O223" s="202" t="s">
        <v>303</v>
      </c>
      <c r="P223" s="203" t="s">
        <v>304</v>
      </c>
      <c r="Q223" s="203" t="s">
        <v>276</v>
      </c>
    </row>
    <row r="224" spans="1:17" s="204" customFormat="1">
      <c r="A224" s="13">
        <v>224</v>
      </c>
      <c r="B224" s="202" t="s">
        <v>2123</v>
      </c>
      <c r="C224" s="202" t="s">
        <v>2124</v>
      </c>
      <c r="D224" s="202" t="s">
        <v>2125</v>
      </c>
      <c r="E224" s="202" t="s">
        <v>2126</v>
      </c>
      <c r="F224" s="222">
        <f t="shared" si="24"/>
        <v>12</v>
      </c>
      <c r="G224" s="223" t="str">
        <f t="shared" si="25"/>
        <v>7</v>
      </c>
      <c r="H224" s="224">
        <f t="shared" si="26"/>
        <v>7</v>
      </c>
      <c r="I224" s="223" t="str">
        <f t="shared" si="27"/>
        <v>13 min.</v>
      </c>
      <c r="J224" s="223" t="str">
        <f t="shared" si="28"/>
        <v>13</v>
      </c>
      <c r="K224" s="224">
        <f t="shared" si="29"/>
        <v>13</v>
      </c>
      <c r="L224" s="223" t="str">
        <f t="shared" si="30"/>
        <v>7:13</v>
      </c>
      <c r="M224" s="225">
        <f t="shared" si="31"/>
        <v>0.30069444444444443</v>
      </c>
      <c r="N224" s="203" t="s">
        <v>505</v>
      </c>
      <c r="O224" s="202" t="s">
        <v>386</v>
      </c>
      <c r="P224" s="203" t="s">
        <v>304</v>
      </c>
      <c r="Q224" s="203" t="s">
        <v>276</v>
      </c>
    </row>
    <row r="225" spans="1:17" s="204" customFormat="1">
      <c r="A225" s="13">
        <v>225</v>
      </c>
      <c r="B225" s="202" t="s">
        <v>2127</v>
      </c>
      <c r="C225" s="202" t="s">
        <v>2128</v>
      </c>
      <c r="D225" s="202" t="s">
        <v>2129</v>
      </c>
      <c r="E225" s="202" t="s">
        <v>2130</v>
      </c>
      <c r="F225" s="222">
        <f t="shared" si="24"/>
        <v>12</v>
      </c>
      <c r="G225" s="223" t="str">
        <f t="shared" si="25"/>
        <v>8</v>
      </c>
      <c r="H225" s="224">
        <f t="shared" si="26"/>
        <v>8</v>
      </c>
      <c r="I225" s="223" t="str">
        <f t="shared" si="27"/>
        <v>41 min.</v>
      </c>
      <c r="J225" s="223" t="str">
        <f t="shared" si="28"/>
        <v>41</v>
      </c>
      <c r="K225" s="224">
        <f t="shared" si="29"/>
        <v>41</v>
      </c>
      <c r="L225" s="223" t="str">
        <f t="shared" si="30"/>
        <v>8:41</v>
      </c>
      <c r="M225" s="225">
        <f t="shared" si="31"/>
        <v>0.36180555555555555</v>
      </c>
      <c r="N225" s="203" t="s">
        <v>816</v>
      </c>
      <c r="O225" s="202" t="s">
        <v>303</v>
      </c>
      <c r="P225" s="203" t="s">
        <v>304</v>
      </c>
      <c r="Q225" s="203" t="s">
        <v>276</v>
      </c>
    </row>
    <row r="226" spans="1:17" s="204" customFormat="1">
      <c r="A226" s="13">
        <v>226</v>
      </c>
      <c r="B226" s="202" t="s">
        <v>2131</v>
      </c>
      <c r="C226" s="202" t="s">
        <v>2132</v>
      </c>
      <c r="D226" s="202" t="s">
        <v>2133</v>
      </c>
      <c r="E226" s="202" t="s">
        <v>570</v>
      </c>
      <c r="F226" s="222">
        <f t="shared" si="24"/>
        <v>12</v>
      </c>
      <c r="G226" s="223" t="str">
        <f t="shared" si="25"/>
        <v>5</v>
      </c>
      <c r="H226" s="224">
        <f t="shared" si="26"/>
        <v>5</v>
      </c>
      <c r="I226" s="223" t="str">
        <f t="shared" si="27"/>
        <v>51 min.</v>
      </c>
      <c r="J226" s="223" t="str">
        <f t="shared" si="28"/>
        <v>51</v>
      </c>
      <c r="K226" s="224">
        <f t="shared" si="29"/>
        <v>51</v>
      </c>
      <c r="L226" s="223" t="str">
        <f t="shared" si="30"/>
        <v>5:51</v>
      </c>
      <c r="M226" s="225">
        <f t="shared" si="31"/>
        <v>0.24374999999999999</v>
      </c>
      <c r="N226" s="203" t="s">
        <v>428</v>
      </c>
      <c r="O226" s="202" t="s">
        <v>303</v>
      </c>
      <c r="P226" s="203" t="s">
        <v>304</v>
      </c>
      <c r="Q226" s="203" t="s">
        <v>276</v>
      </c>
    </row>
    <row r="227" spans="1:17" s="204" customFormat="1">
      <c r="A227" s="13">
        <v>227</v>
      </c>
      <c r="B227" s="202" t="s">
        <v>2134</v>
      </c>
      <c r="C227" s="202" t="s">
        <v>2135</v>
      </c>
      <c r="D227" s="202" t="s">
        <v>2136</v>
      </c>
      <c r="E227" s="202" t="s">
        <v>1351</v>
      </c>
      <c r="F227" s="222">
        <f t="shared" si="24"/>
        <v>12</v>
      </c>
      <c r="G227" s="223" t="str">
        <f t="shared" si="25"/>
        <v>9</v>
      </c>
      <c r="H227" s="224">
        <f t="shared" si="26"/>
        <v>9</v>
      </c>
      <c r="I227" s="223" t="str">
        <f t="shared" si="27"/>
        <v>28 min.</v>
      </c>
      <c r="J227" s="223" t="str">
        <f t="shared" si="28"/>
        <v>28</v>
      </c>
      <c r="K227" s="224">
        <f t="shared" si="29"/>
        <v>28</v>
      </c>
      <c r="L227" s="223" t="str">
        <f t="shared" si="30"/>
        <v>9:28</v>
      </c>
      <c r="M227" s="225">
        <f t="shared" si="31"/>
        <v>0.39444444444444443</v>
      </c>
      <c r="N227" s="203" t="s">
        <v>2137</v>
      </c>
      <c r="O227" s="202" t="s">
        <v>274</v>
      </c>
      <c r="P227" s="203" t="s">
        <v>304</v>
      </c>
      <c r="Q227" s="203" t="s">
        <v>276</v>
      </c>
    </row>
    <row r="228" spans="1:17" s="204" customFormat="1">
      <c r="A228" s="13">
        <v>228</v>
      </c>
      <c r="B228" s="202" t="s">
        <v>2145</v>
      </c>
      <c r="C228" s="202" t="s">
        <v>2146</v>
      </c>
      <c r="D228" s="202" t="s">
        <v>2147</v>
      </c>
      <c r="E228" s="202" t="s">
        <v>2148</v>
      </c>
      <c r="F228" s="222">
        <f t="shared" si="24"/>
        <v>12</v>
      </c>
      <c r="G228" s="223" t="str">
        <f t="shared" si="25"/>
        <v>5</v>
      </c>
      <c r="H228" s="224">
        <f t="shared" si="26"/>
        <v>5</v>
      </c>
      <c r="I228" s="223" t="str">
        <f t="shared" si="27"/>
        <v>06 min.</v>
      </c>
      <c r="J228" s="223" t="str">
        <f t="shared" si="28"/>
        <v>06</v>
      </c>
      <c r="K228" s="224">
        <f t="shared" si="29"/>
        <v>6</v>
      </c>
      <c r="L228" s="223" t="str">
        <f t="shared" si="30"/>
        <v>5:6</v>
      </c>
      <c r="M228" s="225">
        <f t="shared" si="31"/>
        <v>0.21249999999999999</v>
      </c>
      <c r="N228" s="203" t="s">
        <v>1027</v>
      </c>
      <c r="O228" s="202" t="s">
        <v>303</v>
      </c>
      <c r="P228" s="203" t="s">
        <v>304</v>
      </c>
      <c r="Q228" s="203" t="s">
        <v>276</v>
      </c>
    </row>
    <row r="229" spans="1:17" s="204" customFormat="1">
      <c r="A229" s="13">
        <v>229</v>
      </c>
      <c r="B229" s="202" t="s">
        <v>2149</v>
      </c>
      <c r="C229" s="202" t="s">
        <v>2150</v>
      </c>
      <c r="D229" s="202" t="s">
        <v>2151</v>
      </c>
      <c r="E229" s="202" t="s">
        <v>1969</v>
      </c>
      <c r="F229" s="222">
        <f t="shared" si="24"/>
        <v>12</v>
      </c>
      <c r="G229" s="223" t="str">
        <f t="shared" si="25"/>
        <v>4</v>
      </c>
      <c r="H229" s="224">
        <f t="shared" si="26"/>
        <v>4</v>
      </c>
      <c r="I229" s="223" t="str">
        <f t="shared" si="27"/>
        <v>49 min.</v>
      </c>
      <c r="J229" s="223" t="str">
        <f t="shared" si="28"/>
        <v>49</v>
      </c>
      <c r="K229" s="224">
        <f t="shared" si="29"/>
        <v>49</v>
      </c>
      <c r="L229" s="223" t="str">
        <f t="shared" si="30"/>
        <v>4:49</v>
      </c>
      <c r="M229" s="225">
        <f t="shared" si="31"/>
        <v>0.20069444444444443</v>
      </c>
      <c r="N229" s="203" t="s">
        <v>893</v>
      </c>
      <c r="O229" s="202" t="s">
        <v>303</v>
      </c>
      <c r="P229" s="203" t="s">
        <v>304</v>
      </c>
      <c r="Q229" s="203" t="s">
        <v>276</v>
      </c>
    </row>
    <row r="230" spans="1:17" s="204" customFormat="1">
      <c r="A230" s="13">
        <v>230</v>
      </c>
      <c r="B230" s="202" t="s">
        <v>2152</v>
      </c>
      <c r="C230" s="202" t="s">
        <v>2153</v>
      </c>
      <c r="D230" s="202" t="s">
        <v>2154</v>
      </c>
      <c r="E230" s="202" t="s">
        <v>2155</v>
      </c>
      <c r="F230" s="222">
        <f t="shared" si="24"/>
        <v>12</v>
      </c>
      <c r="G230" s="223" t="str">
        <f t="shared" si="25"/>
        <v>9</v>
      </c>
      <c r="H230" s="224">
        <f t="shared" si="26"/>
        <v>9</v>
      </c>
      <c r="I230" s="223" t="str">
        <f t="shared" si="27"/>
        <v>26 min.</v>
      </c>
      <c r="J230" s="223" t="str">
        <f t="shared" si="28"/>
        <v>26</v>
      </c>
      <c r="K230" s="224">
        <f t="shared" si="29"/>
        <v>26</v>
      </c>
      <c r="L230" s="223" t="str">
        <f t="shared" si="30"/>
        <v>9:26</v>
      </c>
      <c r="M230" s="225">
        <f t="shared" si="31"/>
        <v>0.39305555555555555</v>
      </c>
      <c r="N230" s="203" t="s">
        <v>449</v>
      </c>
      <c r="O230" s="202" t="s">
        <v>274</v>
      </c>
      <c r="P230" s="203" t="s">
        <v>304</v>
      </c>
      <c r="Q230" s="203" t="s">
        <v>276</v>
      </c>
    </row>
    <row r="231" spans="1:17" s="204" customFormat="1">
      <c r="A231" s="13">
        <v>231</v>
      </c>
      <c r="B231" s="202" t="s">
        <v>2156</v>
      </c>
      <c r="C231" s="202" t="s">
        <v>2157</v>
      </c>
      <c r="D231" s="202" t="s">
        <v>2158</v>
      </c>
      <c r="E231" s="202" t="s">
        <v>2159</v>
      </c>
      <c r="F231" s="222">
        <f t="shared" si="24"/>
        <v>12</v>
      </c>
      <c r="G231" s="223" t="str">
        <f t="shared" si="25"/>
        <v>8</v>
      </c>
      <c r="H231" s="224">
        <f t="shared" si="26"/>
        <v>8</v>
      </c>
      <c r="I231" s="223" t="str">
        <f t="shared" si="27"/>
        <v>16 min.</v>
      </c>
      <c r="J231" s="223" t="str">
        <f t="shared" si="28"/>
        <v>16</v>
      </c>
      <c r="K231" s="224">
        <f t="shared" si="29"/>
        <v>16</v>
      </c>
      <c r="L231" s="223" t="str">
        <f t="shared" si="30"/>
        <v>8:16</v>
      </c>
      <c r="M231" s="225">
        <f t="shared" si="31"/>
        <v>0.3444444444444445</v>
      </c>
      <c r="N231" s="203" t="s">
        <v>2160</v>
      </c>
      <c r="O231" s="202" t="s">
        <v>310</v>
      </c>
      <c r="P231" s="203" t="s">
        <v>304</v>
      </c>
      <c r="Q231" s="203" t="s">
        <v>276</v>
      </c>
    </row>
    <row r="232" spans="1:17" s="204" customFormat="1">
      <c r="A232" s="13">
        <v>232</v>
      </c>
      <c r="B232" s="202" t="s">
        <v>2161</v>
      </c>
      <c r="C232" s="202" t="s">
        <v>2162</v>
      </c>
      <c r="D232" s="202" t="s">
        <v>2163</v>
      </c>
      <c r="E232" s="202" t="s">
        <v>2164</v>
      </c>
      <c r="F232" s="222">
        <f t="shared" si="24"/>
        <v>13</v>
      </c>
      <c r="G232" s="223" t="str">
        <f t="shared" si="25"/>
        <v>17</v>
      </c>
      <c r="H232" s="224">
        <f t="shared" si="26"/>
        <v>17</v>
      </c>
      <c r="I232" s="223" t="str">
        <f t="shared" si="27"/>
        <v>26 min.</v>
      </c>
      <c r="J232" s="223" t="str">
        <f t="shared" si="28"/>
        <v>26</v>
      </c>
      <c r="K232" s="224">
        <f t="shared" si="29"/>
        <v>26</v>
      </c>
      <c r="L232" s="223" t="str">
        <f t="shared" si="30"/>
        <v>17:26</v>
      </c>
      <c r="M232" s="225">
        <f t="shared" si="31"/>
        <v>0.72638888888888886</v>
      </c>
      <c r="N232" s="203" t="s">
        <v>444</v>
      </c>
      <c r="O232" s="202" t="s">
        <v>371</v>
      </c>
      <c r="P232" s="203" t="s">
        <v>304</v>
      </c>
      <c r="Q232" s="203" t="s">
        <v>276</v>
      </c>
    </row>
    <row r="233" spans="1:17" s="204" customFormat="1">
      <c r="A233" s="13">
        <v>233</v>
      </c>
      <c r="B233" s="202" t="s">
        <v>2169</v>
      </c>
      <c r="C233" s="202" t="s">
        <v>2170</v>
      </c>
      <c r="D233" s="202" t="s">
        <v>2171</v>
      </c>
      <c r="E233" s="202" t="s">
        <v>1834</v>
      </c>
      <c r="F233" s="222">
        <f t="shared" si="24"/>
        <v>12</v>
      </c>
      <c r="G233" s="223" t="str">
        <f t="shared" si="25"/>
        <v>5</v>
      </c>
      <c r="H233" s="224">
        <f t="shared" si="26"/>
        <v>5</v>
      </c>
      <c r="I233" s="223" t="str">
        <f t="shared" si="27"/>
        <v>04 min.</v>
      </c>
      <c r="J233" s="223" t="str">
        <f t="shared" si="28"/>
        <v>04</v>
      </c>
      <c r="K233" s="224">
        <f t="shared" si="29"/>
        <v>4</v>
      </c>
      <c r="L233" s="223" t="str">
        <f t="shared" si="30"/>
        <v>5:4</v>
      </c>
      <c r="M233" s="225">
        <f t="shared" si="31"/>
        <v>0.21111111111111111</v>
      </c>
      <c r="N233" s="203" t="s">
        <v>438</v>
      </c>
      <c r="O233" s="202" t="s">
        <v>303</v>
      </c>
      <c r="P233" s="203" t="s">
        <v>304</v>
      </c>
      <c r="Q233" s="203" t="s">
        <v>276</v>
      </c>
    </row>
    <row r="234" spans="1:17" s="204" customFormat="1">
      <c r="A234" s="13">
        <v>234</v>
      </c>
      <c r="B234" s="202" t="s">
        <v>2176</v>
      </c>
      <c r="C234" s="202" t="s">
        <v>2177</v>
      </c>
      <c r="D234" s="202" t="s">
        <v>2178</v>
      </c>
      <c r="E234" s="202" t="s">
        <v>2179</v>
      </c>
      <c r="F234" s="222">
        <f t="shared" si="24"/>
        <v>12</v>
      </c>
      <c r="G234" s="223" t="str">
        <f t="shared" si="25"/>
        <v>9</v>
      </c>
      <c r="H234" s="224">
        <f t="shared" si="26"/>
        <v>9</v>
      </c>
      <c r="I234" s="223" t="str">
        <f t="shared" si="27"/>
        <v>40 min.</v>
      </c>
      <c r="J234" s="223" t="str">
        <f t="shared" si="28"/>
        <v>40</v>
      </c>
      <c r="K234" s="224">
        <f t="shared" si="29"/>
        <v>40</v>
      </c>
      <c r="L234" s="223" t="str">
        <f t="shared" si="30"/>
        <v>9:40</v>
      </c>
      <c r="M234" s="225">
        <f t="shared" si="31"/>
        <v>0.40277777777777773</v>
      </c>
      <c r="N234" s="203" t="s">
        <v>643</v>
      </c>
      <c r="O234" s="202" t="s">
        <v>303</v>
      </c>
      <c r="P234" s="203" t="s">
        <v>304</v>
      </c>
      <c r="Q234" s="203" t="s">
        <v>276</v>
      </c>
    </row>
    <row r="235" spans="1:17" s="204" customFormat="1">
      <c r="A235" s="13">
        <v>235</v>
      </c>
      <c r="B235" s="202" t="s">
        <v>2180</v>
      </c>
      <c r="C235" s="202" t="s">
        <v>2181</v>
      </c>
      <c r="D235" s="202" t="s">
        <v>2182</v>
      </c>
      <c r="E235" s="202" t="s">
        <v>2183</v>
      </c>
      <c r="F235" s="222">
        <f t="shared" si="24"/>
        <v>13</v>
      </c>
      <c r="G235" s="223" t="str">
        <f t="shared" si="25"/>
        <v>19</v>
      </c>
      <c r="H235" s="224">
        <f t="shared" si="26"/>
        <v>19</v>
      </c>
      <c r="I235" s="223" t="str">
        <f t="shared" si="27"/>
        <v>57 min.</v>
      </c>
      <c r="J235" s="223" t="str">
        <f t="shared" si="28"/>
        <v>57</v>
      </c>
      <c r="K235" s="224">
        <f t="shared" si="29"/>
        <v>57</v>
      </c>
      <c r="L235" s="223" t="str">
        <f t="shared" si="30"/>
        <v>19:57</v>
      </c>
      <c r="M235" s="225">
        <f t="shared" si="31"/>
        <v>0.83124999999999993</v>
      </c>
      <c r="N235" s="203" t="s">
        <v>2184</v>
      </c>
      <c r="O235" s="202" t="s">
        <v>303</v>
      </c>
      <c r="P235" s="203" t="s">
        <v>304</v>
      </c>
      <c r="Q235" s="203" t="s">
        <v>276</v>
      </c>
    </row>
    <row r="236" spans="1:17" s="204" customFormat="1">
      <c r="A236" s="13">
        <v>236</v>
      </c>
      <c r="B236" s="202" t="s">
        <v>2199</v>
      </c>
      <c r="C236" s="202" t="s">
        <v>2200</v>
      </c>
      <c r="D236" s="202" t="s">
        <v>2201</v>
      </c>
      <c r="E236" s="202" t="s">
        <v>674</v>
      </c>
      <c r="F236" s="222">
        <f t="shared" si="24"/>
        <v>12</v>
      </c>
      <c r="G236" s="223" t="str">
        <f t="shared" si="25"/>
        <v>4</v>
      </c>
      <c r="H236" s="224">
        <f t="shared" si="26"/>
        <v>4</v>
      </c>
      <c r="I236" s="223" t="str">
        <f t="shared" si="27"/>
        <v>27 min.</v>
      </c>
      <c r="J236" s="223" t="str">
        <f t="shared" si="28"/>
        <v>27</v>
      </c>
      <c r="K236" s="224">
        <f t="shared" si="29"/>
        <v>27</v>
      </c>
      <c r="L236" s="223" t="str">
        <f t="shared" si="30"/>
        <v>4:27</v>
      </c>
      <c r="M236" s="225">
        <f t="shared" si="31"/>
        <v>0.18541666666666667</v>
      </c>
      <c r="N236" s="203" t="s">
        <v>2202</v>
      </c>
      <c r="O236" s="202" t="s">
        <v>303</v>
      </c>
      <c r="P236" s="203" t="s">
        <v>304</v>
      </c>
      <c r="Q236" s="203" t="s">
        <v>276</v>
      </c>
    </row>
    <row r="237" spans="1:17" s="204" customFormat="1">
      <c r="A237" s="13">
        <v>237</v>
      </c>
      <c r="B237" s="202" t="s">
        <v>2208</v>
      </c>
      <c r="C237" s="202" t="s">
        <v>2209</v>
      </c>
      <c r="D237" s="202" t="s">
        <v>2210</v>
      </c>
      <c r="E237" s="202" t="s">
        <v>2589</v>
      </c>
      <c r="F237" s="222">
        <f t="shared" si="24"/>
        <v>13</v>
      </c>
      <c r="G237" s="223" t="str">
        <f t="shared" si="25"/>
        <v>00</v>
      </c>
      <c r="H237" s="224">
        <f t="shared" si="26"/>
        <v>0</v>
      </c>
      <c r="I237" s="223" t="str">
        <f t="shared" si="27"/>
        <v>48 min.</v>
      </c>
      <c r="J237" s="223" t="str">
        <f t="shared" si="28"/>
        <v>48</v>
      </c>
      <c r="K237" s="224">
        <f t="shared" si="29"/>
        <v>48</v>
      </c>
      <c r="L237" s="223" t="str">
        <f t="shared" si="30"/>
        <v>0:48</v>
      </c>
      <c r="M237" s="225">
        <f t="shared" si="31"/>
        <v>3.3333333333333333E-2</v>
      </c>
      <c r="N237" s="203" t="s">
        <v>531</v>
      </c>
      <c r="O237" s="202" t="s">
        <v>310</v>
      </c>
      <c r="P237" s="203" t="s">
        <v>304</v>
      </c>
      <c r="Q237" s="203" t="s">
        <v>276</v>
      </c>
    </row>
    <row r="238" spans="1:17" s="204" customFormat="1">
      <c r="A238" s="13">
        <v>238</v>
      </c>
      <c r="B238" s="202" t="s">
        <v>2214</v>
      </c>
      <c r="C238" s="202" t="s">
        <v>2215</v>
      </c>
      <c r="D238" s="202" t="s">
        <v>2216</v>
      </c>
      <c r="E238" s="202" t="s">
        <v>1351</v>
      </c>
      <c r="F238" s="222">
        <f t="shared" si="24"/>
        <v>12</v>
      </c>
      <c r="G238" s="223" t="str">
        <f t="shared" si="25"/>
        <v>9</v>
      </c>
      <c r="H238" s="224">
        <f t="shared" si="26"/>
        <v>9</v>
      </c>
      <c r="I238" s="223" t="str">
        <f t="shared" si="27"/>
        <v>28 min.</v>
      </c>
      <c r="J238" s="223" t="str">
        <f t="shared" si="28"/>
        <v>28</v>
      </c>
      <c r="K238" s="224">
        <f t="shared" si="29"/>
        <v>28</v>
      </c>
      <c r="L238" s="223" t="str">
        <f t="shared" si="30"/>
        <v>9:28</v>
      </c>
      <c r="M238" s="225">
        <f t="shared" si="31"/>
        <v>0.39444444444444443</v>
      </c>
      <c r="N238" s="203" t="s">
        <v>380</v>
      </c>
      <c r="O238" s="202" t="s">
        <v>536</v>
      </c>
      <c r="P238" s="203" t="s">
        <v>304</v>
      </c>
      <c r="Q238" s="203" t="s">
        <v>276</v>
      </c>
    </row>
    <row r="239" spans="1:17" s="204" customFormat="1">
      <c r="A239" s="13">
        <v>239</v>
      </c>
      <c r="B239" s="202" t="s">
        <v>2239</v>
      </c>
      <c r="C239" s="202" t="s">
        <v>2240</v>
      </c>
      <c r="D239" s="202" t="s">
        <v>2241</v>
      </c>
      <c r="E239" s="202" t="s">
        <v>2242</v>
      </c>
      <c r="F239" s="222">
        <f t="shared" si="24"/>
        <v>12</v>
      </c>
      <c r="G239" s="223" t="str">
        <f t="shared" si="25"/>
        <v>3</v>
      </c>
      <c r="H239" s="224">
        <f t="shared" si="26"/>
        <v>3</v>
      </c>
      <c r="I239" s="223" t="str">
        <f t="shared" si="27"/>
        <v>07 min.</v>
      </c>
      <c r="J239" s="223" t="str">
        <f t="shared" si="28"/>
        <v>07</v>
      </c>
      <c r="K239" s="224">
        <f t="shared" si="29"/>
        <v>7</v>
      </c>
      <c r="L239" s="223" t="str">
        <f t="shared" si="30"/>
        <v>3:7</v>
      </c>
      <c r="M239" s="225">
        <f t="shared" si="31"/>
        <v>0.12986111111111112</v>
      </c>
      <c r="N239" s="203" t="s">
        <v>407</v>
      </c>
      <c r="O239" s="202" t="s">
        <v>303</v>
      </c>
      <c r="P239" s="203" t="s">
        <v>304</v>
      </c>
      <c r="Q239" s="203" t="s">
        <v>276</v>
      </c>
    </row>
    <row r="240" spans="1:17" s="204" customFormat="1">
      <c r="A240" s="13">
        <v>240</v>
      </c>
      <c r="B240" s="202" t="s">
        <v>2243</v>
      </c>
      <c r="C240" s="202" t="s">
        <v>1687</v>
      </c>
      <c r="D240" s="202" t="s">
        <v>2244</v>
      </c>
      <c r="E240" s="202" t="s">
        <v>2245</v>
      </c>
      <c r="F240" s="222">
        <f t="shared" si="24"/>
        <v>12</v>
      </c>
      <c r="G240" s="223" t="str">
        <f t="shared" si="25"/>
        <v>5</v>
      </c>
      <c r="H240" s="224">
        <f t="shared" si="26"/>
        <v>5</v>
      </c>
      <c r="I240" s="223" t="str">
        <f t="shared" si="27"/>
        <v>50 min.</v>
      </c>
      <c r="J240" s="223" t="str">
        <f t="shared" si="28"/>
        <v>50</v>
      </c>
      <c r="K240" s="224">
        <f t="shared" si="29"/>
        <v>50</v>
      </c>
      <c r="L240" s="223" t="str">
        <f t="shared" si="30"/>
        <v>5:50</v>
      </c>
      <c r="M240" s="225">
        <f t="shared" si="31"/>
        <v>0.24305555555555555</v>
      </c>
      <c r="N240" s="203" t="s">
        <v>880</v>
      </c>
      <c r="O240" s="202" t="s">
        <v>274</v>
      </c>
      <c r="P240" s="203" t="s">
        <v>304</v>
      </c>
      <c r="Q240" s="203" t="s">
        <v>276</v>
      </c>
    </row>
    <row r="241" spans="1:17" s="204" customFormat="1">
      <c r="A241" s="13">
        <v>241</v>
      </c>
      <c r="B241" s="202" t="s">
        <v>2254</v>
      </c>
      <c r="C241" s="202" t="s">
        <v>2255</v>
      </c>
      <c r="D241" s="202" t="s">
        <v>2256</v>
      </c>
      <c r="E241" s="202" t="s">
        <v>815</v>
      </c>
      <c r="F241" s="222">
        <f t="shared" si="24"/>
        <v>12</v>
      </c>
      <c r="G241" s="223" t="str">
        <f t="shared" si="25"/>
        <v>5</v>
      </c>
      <c r="H241" s="224">
        <f t="shared" si="26"/>
        <v>5</v>
      </c>
      <c r="I241" s="223" t="str">
        <f t="shared" si="27"/>
        <v>23 min.</v>
      </c>
      <c r="J241" s="223" t="str">
        <f t="shared" si="28"/>
        <v>23</v>
      </c>
      <c r="K241" s="224">
        <f t="shared" si="29"/>
        <v>23</v>
      </c>
      <c r="L241" s="223" t="str">
        <f t="shared" si="30"/>
        <v>5:23</v>
      </c>
      <c r="M241" s="225">
        <f t="shared" si="31"/>
        <v>0.22430555555555556</v>
      </c>
      <c r="N241" s="203" t="s">
        <v>1091</v>
      </c>
      <c r="O241" s="202" t="s">
        <v>2257</v>
      </c>
      <c r="P241" s="203" t="s">
        <v>304</v>
      </c>
      <c r="Q241" s="203" t="s">
        <v>276</v>
      </c>
    </row>
    <row r="242" spans="1:17" s="204" customFormat="1">
      <c r="A242" s="13">
        <v>242</v>
      </c>
      <c r="B242" s="202" t="s">
        <v>2270</v>
      </c>
      <c r="C242" s="202" t="s">
        <v>2271</v>
      </c>
      <c r="D242" s="202" t="s">
        <v>2272</v>
      </c>
      <c r="E242" s="202" t="s">
        <v>2273</v>
      </c>
      <c r="F242" s="222">
        <f t="shared" si="24"/>
        <v>12</v>
      </c>
      <c r="G242" s="223" t="str">
        <f t="shared" si="25"/>
        <v>2</v>
      </c>
      <c r="H242" s="224">
        <f t="shared" si="26"/>
        <v>2</v>
      </c>
      <c r="I242" s="223" t="str">
        <f t="shared" si="27"/>
        <v>05 min.</v>
      </c>
      <c r="J242" s="223" t="str">
        <f t="shared" si="28"/>
        <v>05</v>
      </c>
      <c r="K242" s="224">
        <f t="shared" si="29"/>
        <v>5</v>
      </c>
      <c r="L242" s="223" t="str">
        <f t="shared" si="30"/>
        <v>2:5</v>
      </c>
      <c r="M242" s="225">
        <f t="shared" si="31"/>
        <v>8.6805555555555566E-2</v>
      </c>
      <c r="N242" s="203" t="s">
        <v>433</v>
      </c>
      <c r="O242" s="202" t="s">
        <v>310</v>
      </c>
      <c r="P242" s="203" t="s">
        <v>304</v>
      </c>
      <c r="Q242" s="203" t="s">
        <v>276</v>
      </c>
    </row>
    <row r="243" spans="1:17" s="204" customFormat="1">
      <c r="A243" s="13">
        <v>243</v>
      </c>
      <c r="B243" s="202" t="s">
        <v>2274</v>
      </c>
      <c r="C243" s="202" t="s">
        <v>430</v>
      </c>
      <c r="D243" s="202" t="s">
        <v>2275</v>
      </c>
      <c r="E243" s="202" t="s">
        <v>706</v>
      </c>
      <c r="F243" s="222">
        <f t="shared" si="24"/>
        <v>12</v>
      </c>
      <c r="G243" s="223" t="str">
        <f t="shared" si="25"/>
        <v>7</v>
      </c>
      <c r="H243" s="224">
        <f t="shared" si="26"/>
        <v>7</v>
      </c>
      <c r="I243" s="223" t="str">
        <f t="shared" si="27"/>
        <v>36 min.</v>
      </c>
      <c r="J243" s="223" t="str">
        <f t="shared" si="28"/>
        <v>36</v>
      </c>
      <c r="K243" s="224">
        <f t="shared" si="29"/>
        <v>36</v>
      </c>
      <c r="L243" s="223" t="str">
        <f t="shared" si="30"/>
        <v>7:36</v>
      </c>
      <c r="M243" s="225">
        <f t="shared" si="31"/>
        <v>0.31666666666666665</v>
      </c>
      <c r="N243" s="203" t="s">
        <v>438</v>
      </c>
      <c r="O243" s="202" t="s">
        <v>303</v>
      </c>
      <c r="P243" s="203" t="s">
        <v>304</v>
      </c>
      <c r="Q243" s="203" t="s">
        <v>276</v>
      </c>
    </row>
    <row r="244" spans="1:17" s="204" customFormat="1">
      <c r="A244" s="13">
        <v>244</v>
      </c>
      <c r="B244" s="202" t="s">
        <v>2280</v>
      </c>
      <c r="C244" s="202" t="s">
        <v>2281</v>
      </c>
      <c r="D244" s="202" t="s">
        <v>2282</v>
      </c>
      <c r="E244" s="202" t="s">
        <v>2283</v>
      </c>
      <c r="F244" s="222">
        <f t="shared" si="24"/>
        <v>12</v>
      </c>
      <c r="G244" s="223" t="str">
        <f t="shared" si="25"/>
        <v>3</v>
      </c>
      <c r="H244" s="224">
        <f t="shared" si="26"/>
        <v>3</v>
      </c>
      <c r="I244" s="223" t="str">
        <f t="shared" si="27"/>
        <v>47 min.</v>
      </c>
      <c r="J244" s="223" t="str">
        <f t="shared" si="28"/>
        <v>47</v>
      </c>
      <c r="K244" s="224">
        <f t="shared" si="29"/>
        <v>47</v>
      </c>
      <c r="L244" s="223" t="str">
        <f t="shared" si="30"/>
        <v>3:47</v>
      </c>
      <c r="M244" s="225">
        <f t="shared" si="31"/>
        <v>0.15763888888888888</v>
      </c>
      <c r="N244" s="203" t="s">
        <v>959</v>
      </c>
      <c r="O244" s="202" t="s">
        <v>303</v>
      </c>
      <c r="P244" s="203" t="s">
        <v>304</v>
      </c>
      <c r="Q244" s="203" t="s">
        <v>276</v>
      </c>
    </row>
    <row r="245" spans="1:17" s="204" customFormat="1">
      <c r="A245" s="13">
        <v>245</v>
      </c>
      <c r="B245" s="202" t="s">
        <v>2286</v>
      </c>
      <c r="C245" s="202" t="s">
        <v>588</v>
      </c>
      <c r="D245" s="202" t="s">
        <v>2287</v>
      </c>
      <c r="E245" s="202" t="s">
        <v>2288</v>
      </c>
      <c r="F245" s="222">
        <f t="shared" ref="F245:F258" si="32">LEN(E245)</f>
        <v>12</v>
      </c>
      <c r="G245" s="223" t="str">
        <f t="shared" ref="G245:G258" si="33">IF(F245=12,LEFT(E245,1),LEFT(E245,2))</f>
        <v>6</v>
      </c>
      <c r="H245" s="224">
        <f t="shared" ref="H245:H258" si="34">VALUE(G245)</f>
        <v>6</v>
      </c>
      <c r="I245" s="223" t="str">
        <f t="shared" ref="I245:I258" si="35">RIGHT(E245,7)</f>
        <v>20 min.</v>
      </c>
      <c r="J245" s="223" t="str">
        <f t="shared" ref="J245:J258" si="36">LEFT(I245,2)</f>
        <v>20</v>
      </c>
      <c r="K245" s="224">
        <f t="shared" ref="K245:K258" si="37">VALUE(J245)</f>
        <v>20</v>
      </c>
      <c r="L245" s="223" t="str">
        <f t="shared" ref="L245:L258" si="38">H245&amp;":"&amp;K245</f>
        <v>6:20</v>
      </c>
      <c r="M245" s="225">
        <f t="shared" ref="M245:M258" si="39">VALUE(L245)</f>
        <v>0.2638888888888889</v>
      </c>
      <c r="N245" s="203" t="s">
        <v>1514</v>
      </c>
      <c r="O245" s="202" t="s">
        <v>303</v>
      </c>
      <c r="P245" s="203" t="s">
        <v>304</v>
      </c>
      <c r="Q245" s="203" t="s">
        <v>276</v>
      </c>
    </row>
    <row r="246" spans="1:17" s="204" customFormat="1">
      <c r="A246" s="13">
        <v>246</v>
      </c>
      <c r="B246" s="202" t="s">
        <v>2289</v>
      </c>
      <c r="C246" s="202" t="s">
        <v>2290</v>
      </c>
      <c r="D246" s="202" t="s">
        <v>2291</v>
      </c>
      <c r="E246" s="202" t="s">
        <v>875</v>
      </c>
      <c r="F246" s="222">
        <f t="shared" si="32"/>
        <v>12</v>
      </c>
      <c r="G246" s="223" t="str">
        <f t="shared" si="33"/>
        <v>7</v>
      </c>
      <c r="H246" s="224">
        <f t="shared" si="34"/>
        <v>7</v>
      </c>
      <c r="I246" s="223" t="str">
        <f t="shared" si="35"/>
        <v>30 min.</v>
      </c>
      <c r="J246" s="223" t="str">
        <f t="shared" si="36"/>
        <v>30</v>
      </c>
      <c r="K246" s="224">
        <f t="shared" si="37"/>
        <v>30</v>
      </c>
      <c r="L246" s="223" t="str">
        <f t="shared" si="38"/>
        <v>7:30</v>
      </c>
      <c r="M246" s="225">
        <f t="shared" si="39"/>
        <v>0.3125</v>
      </c>
      <c r="N246" s="203" t="s">
        <v>919</v>
      </c>
      <c r="O246" s="202" t="s">
        <v>274</v>
      </c>
      <c r="P246" s="203" t="s">
        <v>304</v>
      </c>
      <c r="Q246" s="203" t="s">
        <v>276</v>
      </c>
    </row>
    <row r="247" spans="1:17" s="204" customFormat="1">
      <c r="A247" s="13">
        <v>247</v>
      </c>
      <c r="B247" s="202" t="s">
        <v>2309</v>
      </c>
      <c r="C247" s="202" t="s">
        <v>2310</v>
      </c>
      <c r="D247" s="202" t="s">
        <v>2311</v>
      </c>
      <c r="E247" s="202" t="s">
        <v>2312</v>
      </c>
      <c r="F247" s="222">
        <f t="shared" si="32"/>
        <v>12</v>
      </c>
      <c r="G247" s="223" t="str">
        <f t="shared" si="33"/>
        <v>9</v>
      </c>
      <c r="H247" s="224">
        <f t="shared" si="34"/>
        <v>9</v>
      </c>
      <c r="I247" s="223" t="str">
        <f t="shared" si="35"/>
        <v>30 min.</v>
      </c>
      <c r="J247" s="223" t="str">
        <f t="shared" si="36"/>
        <v>30</v>
      </c>
      <c r="K247" s="224">
        <f t="shared" si="37"/>
        <v>30</v>
      </c>
      <c r="L247" s="223" t="str">
        <f t="shared" si="38"/>
        <v>9:30</v>
      </c>
      <c r="M247" s="225">
        <f t="shared" si="39"/>
        <v>0.39583333333333331</v>
      </c>
      <c r="N247" s="203" t="s">
        <v>477</v>
      </c>
      <c r="O247" s="202" t="s">
        <v>360</v>
      </c>
      <c r="P247" s="203" t="s">
        <v>304</v>
      </c>
      <c r="Q247" s="203" t="s">
        <v>276</v>
      </c>
    </row>
    <row r="248" spans="1:17" s="204" customFormat="1">
      <c r="A248" s="13">
        <v>248</v>
      </c>
      <c r="B248" s="202" t="s">
        <v>2313</v>
      </c>
      <c r="C248" s="202" t="s">
        <v>2314</v>
      </c>
      <c r="D248" s="202" t="s">
        <v>2315</v>
      </c>
      <c r="E248" s="202" t="s">
        <v>937</v>
      </c>
      <c r="F248" s="222">
        <f t="shared" si="32"/>
        <v>12</v>
      </c>
      <c r="G248" s="223" t="str">
        <f t="shared" si="33"/>
        <v>5</v>
      </c>
      <c r="H248" s="224">
        <f t="shared" si="34"/>
        <v>5</v>
      </c>
      <c r="I248" s="223" t="str">
        <f t="shared" si="35"/>
        <v>58 min.</v>
      </c>
      <c r="J248" s="223" t="str">
        <f t="shared" si="36"/>
        <v>58</v>
      </c>
      <c r="K248" s="224">
        <f t="shared" si="37"/>
        <v>58</v>
      </c>
      <c r="L248" s="223" t="str">
        <f t="shared" si="38"/>
        <v>5:58</v>
      </c>
      <c r="M248" s="225">
        <f t="shared" si="39"/>
        <v>0.24861111111111112</v>
      </c>
      <c r="N248" s="203" t="s">
        <v>2316</v>
      </c>
      <c r="O248" s="202" t="s">
        <v>303</v>
      </c>
      <c r="P248" s="203" t="s">
        <v>304</v>
      </c>
      <c r="Q248" s="203" t="s">
        <v>276</v>
      </c>
    </row>
    <row r="249" spans="1:17" s="204" customFormat="1">
      <c r="A249" s="13">
        <v>249</v>
      </c>
      <c r="B249" s="202" t="s">
        <v>2434</v>
      </c>
      <c r="C249" s="202" t="s">
        <v>2435</v>
      </c>
      <c r="D249" s="202" t="s">
        <v>2436</v>
      </c>
      <c r="E249" s="202" t="s">
        <v>2437</v>
      </c>
      <c r="F249" s="222">
        <f t="shared" si="32"/>
        <v>12</v>
      </c>
      <c r="G249" s="223" t="str">
        <f t="shared" si="33"/>
        <v>4</v>
      </c>
      <c r="H249" s="224">
        <f t="shared" si="34"/>
        <v>4</v>
      </c>
      <c r="I249" s="223" t="str">
        <f t="shared" si="35"/>
        <v>02 min.</v>
      </c>
      <c r="J249" s="223" t="str">
        <f t="shared" si="36"/>
        <v>02</v>
      </c>
      <c r="K249" s="224">
        <f t="shared" si="37"/>
        <v>2</v>
      </c>
      <c r="L249" s="223" t="str">
        <f t="shared" si="38"/>
        <v>4:2</v>
      </c>
      <c r="M249" s="225">
        <f t="shared" si="39"/>
        <v>0.16805555555555554</v>
      </c>
      <c r="N249" s="203" t="s">
        <v>2438</v>
      </c>
      <c r="O249" s="202" t="s">
        <v>303</v>
      </c>
      <c r="P249" s="203" t="s">
        <v>304</v>
      </c>
      <c r="Q249" s="203" t="s">
        <v>276</v>
      </c>
    </row>
    <row r="250" spans="1:17" s="204" customFormat="1">
      <c r="A250" s="13">
        <v>250</v>
      </c>
      <c r="B250" s="202" t="s">
        <v>2467</v>
      </c>
      <c r="C250" s="202" t="s">
        <v>2468</v>
      </c>
      <c r="D250" s="202" t="s">
        <v>2469</v>
      </c>
      <c r="E250" s="202" t="s">
        <v>2470</v>
      </c>
      <c r="F250" s="222">
        <f t="shared" si="32"/>
        <v>12</v>
      </c>
      <c r="G250" s="223" t="str">
        <f t="shared" si="33"/>
        <v>4</v>
      </c>
      <c r="H250" s="224">
        <f t="shared" si="34"/>
        <v>4</v>
      </c>
      <c r="I250" s="223" t="str">
        <f t="shared" si="35"/>
        <v>13 min.</v>
      </c>
      <c r="J250" s="223" t="str">
        <f t="shared" si="36"/>
        <v>13</v>
      </c>
      <c r="K250" s="224">
        <f t="shared" si="37"/>
        <v>13</v>
      </c>
      <c r="L250" s="223" t="str">
        <f t="shared" si="38"/>
        <v>4:13</v>
      </c>
      <c r="M250" s="225">
        <f t="shared" si="39"/>
        <v>0.17569444444444446</v>
      </c>
      <c r="N250" s="203" t="s">
        <v>2074</v>
      </c>
      <c r="O250" s="202" t="s">
        <v>303</v>
      </c>
      <c r="P250" s="203" t="s">
        <v>304</v>
      </c>
      <c r="Q250" s="203" t="s">
        <v>276</v>
      </c>
    </row>
    <row r="251" spans="1:17" s="204" customFormat="1">
      <c r="A251" s="13">
        <v>251</v>
      </c>
      <c r="B251" s="202" t="s">
        <v>2529</v>
      </c>
      <c r="C251" s="202" t="s">
        <v>2530</v>
      </c>
      <c r="D251" s="202" t="s">
        <v>2531</v>
      </c>
      <c r="E251" s="202" t="s">
        <v>504</v>
      </c>
      <c r="F251" s="222">
        <f t="shared" si="32"/>
        <v>12</v>
      </c>
      <c r="G251" s="223" t="str">
        <f t="shared" si="33"/>
        <v>4</v>
      </c>
      <c r="H251" s="224">
        <f t="shared" si="34"/>
        <v>4</v>
      </c>
      <c r="I251" s="223" t="str">
        <f t="shared" si="35"/>
        <v>10 min.</v>
      </c>
      <c r="J251" s="223" t="str">
        <f t="shared" si="36"/>
        <v>10</v>
      </c>
      <c r="K251" s="224">
        <f t="shared" si="37"/>
        <v>10</v>
      </c>
      <c r="L251" s="223" t="str">
        <f t="shared" si="38"/>
        <v>4:10</v>
      </c>
      <c r="M251" s="225">
        <f t="shared" si="39"/>
        <v>0.17361111111111113</v>
      </c>
      <c r="N251" s="203" t="s">
        <v>438</v>
      </c>
      <c r="O251" s="202" t="s">
        <v>536</v>
      </c>
      <c r="P251" s="203" t="s">
        <v>304</v>
      </c>
      <c r="Q251" s="203" t="s">
        <v>276</v>
      </c>
    </row>
    <row r="252" spans="1:17" s="204" customFormat="1">
      <c r="A252" s="13">
        <v>252</v>
      </c>
      <c r="B252" s="202" t="s">
        <v>2536</v>
      </c>
      <c r="C252" s="202" t="s">
        <v>2537</v>
      </c>
      <c r="D252" s="202" t="s">
        <v>2538</v>
      </c>
      <c r="E252" s="202" t="s">
        <v>2539</v>
      </c>
      <c r="F252" s="222">
        <f t="shared" si="32"/>
        <v>12</v>
      </c>
      <c r="G252" s="223" t="str">
        <f t="shared" si="33"/>
        <v>6</v>
      </c>
      <c r="H252" s="224">
        <f t="shared" si="34"/>
        <v>6</v>
      </c>
      <c r="I252" s="223" t="str">
        <f t="shared" si="35"/>
        <v>37 min.</v>
      </c>
      <c r="J252" s="223" t="str">
        <f t="shared" si="36"/>
        <v>37</v>
      </c>
      <c r="K252" s="224">
        <f t="shared" si="37"/>
        <v>37</v>
      </c>
      <c r="L252" s="223" t="str">
        <f t="shared" si="38"/>
        <v>6:37</v>
      </c>
      <c r="M252" s="225">
        <f t="shared" si="39"/>
        <v>0.27569444444444446</v>
      </c>
      <c r="N252" s="203" t="s">
        <v>893</v>
      </c>
      <c r="O252" s="202" t="s">
        <v>439</v>
      </c>
      <c r="P252" s="203" t="s">
        <v>304</v>
      </c>
      <c r="Q252" s="203" t="s">
        <v>276</v>
      </c>
    </row>
    <row r="253" spans="1:17" s="204" customFormat="1">
      <c r="A253" s="13">
        <v>253</v>
      </c>
      <c r="B253" s="202" t="s">
        <v>2540</v>
      </c>
      <c r="C253" s="202" t="s">
        <v>2541</v>
      </c>
      <c r="D253" s="202" t="s">
        <v>2542</v>
      </c>
      <c r="E253" s="202" t="s">
        <v>2543</v>
      </c>
      <c r="F253" s="222">
        <f t="shared" si="32"/>
        <v>12</v>
      </c>
      <c r="G253" s="223" t="str">
        <f t="shared" si="33"/>
        <v>1</v>
      </c>
      <c r="H253" s="224">
        <f t="shared" si="34"/>
        <v>1</v>
      </c>
      <c r="I253" s="223" t="str">
        <f t="shared" si="35"/>
        <v>52 min.</v>
      </c>
      <c r="J253" s="223" t="str">
        <f t="shared" si="36"/>
        <v>52</v>
      </c>
      <c r="K253" s="224">
        <f t="shared" si="37"/>
        <v>52</v>
      </c>
      <c r="L253" s="223" t="str">
        <f t="shared" si="38"/>
        <v>1:52</v>
      </c>
      <c r="M253" s="225">
        <f t="shared" si="39"/>
        <v>7.7777777777777779E-2</v>
      </c>
      <c r="N253" s="203" t="s">
        <v>380</v>
      </c>
      <c r="O253" s="202" t="s">
        <v>350</v>
      </c>
      <c r="P253" s="203" t="s">
        <v>304</v>
      </c>
      <c r="Q253" s="203" t="s">
        <v>276</v>
      </c>
    </row>
    <row r="254" spans="1:17" s="204" customFormat="1">
      <c r="A254" s="13">
        <v>254</v>
      </c>
      <c r="B254" s="202" t="s">
        <v>2544</v>
      </c>
      <c r="C254" s="202" t="s">
        <v>2545</v>
      </c>
      <c r="D254" s="202" t="s">
        <v>2546</v>
      </c>
      <c r="E254" s="202" t="s">
        <v>2547</v>
      </c>
      <c r="F254" s="222">
        <f t="shared" si="32"/>
        <v>12</v>
      </c>
      <c r="G254" s="223" t="str">
        <f t="shared" si="33"/>
        <v>5</v>
      </c>
      <c r="H254" s="224">
        <f t="shared" si="34"/>
        <v>5</v>
      </c>
      <c r="I254" s="223" t="str">
        <f t="shared" si="35"/>
        <v>54 min.</v>
      </c>
      <c r="J254" s="223" t="str">
        <f t="shared" si="36"/>
        <v>54</v>
      </c>
      <c r="K254" s="224">
        <f t="shared" si="37"/>
        <v>54</v>
      </c>
      <c r="L254" s="223" t="str">
        <f t="shared" si="38"/>
        <v>5:54</v>
      </c>
      <c r="M254" s="225">
        <f t="shared" si="39"/>
        <v>0.24583333333333335</v>
      </c>
      <c r="N254" s="203" t="s">
        <v>1006</v>
      </c>
      <c r="O254" s="202" t="s">
        <v>303</v>
      </c>
      <c r="P254" s="203" t="s">
        <v>304</v>
      </c>
      <c r="Q254" s="203" t="s">
        <v>276</v>
      </c>
    </row>
    <row r="255" spans="1:17" s="204" customFormat="1">
      <c r="A255" s="13">
        <v>255</v>
      </c>
      <c r="B255" s="202" t="s">
        <v>2552</v>
      </c>
      <c r="C255" s="202" t="s">
        <v>2553</v>
      </c>
      <c r="D255" s="202" t="s">
        <v>2554</v>
      </c>
      <c r="E255" s="202" t="s">
        <v>2555</v>
      </c>
      <c r="F255" s="222">
        <f t="shared" si="32"/>
        <v>12</v>
      </c>
      <c r="G255" s="223" t="str">
        <f t="shared" si="33"/>
        <v>6</v>
      </c>
      <c r="H255" s="224">
        <f t="shared" si="34"/>
        <v>6</v>
      </c>
      <c r="I255" s="223" t="str">
        <f t="shared" si="35"/>
        <v>04 min.</v>
      </c>
      <c r="J255" s="223" t="str">
        <f t="shared" si="36"/>
        <v>04</v>
      </c>
      <c r="K255" s="224">
        <f t="shared" si="37"/>
        <v>4</v>
      </c>
      <c r="L255" s="223" t="str">
        <f t="shared" si="38"/>
        <v>6:4</v>
      </c>
      <c r="M255" s="225">
        <f t="shared" si="39"/>
        <v>0.25277777777777777</v>
      </c>
      <c r="N255" s="203" t="s">
        <v>531</v>
      </c>
      <c r="O255" s="202" t="s">
        <v>274</v>
      </c>
      <c r="P255" s="203" t="s">
        <v>304</v>
      </c>
      <c r="Q255" s="203" t="s">
        <v>276</v>
      </c>
    </row>
    <row r="256" spans="1:17" s="204" customFormat="1">
      <c r="A256" s="13">
        <v>256</v>
      </c>
      <c r="B256" s="202" t="s">
        <v>2559</v>
      </c>
      <c r="C256" s="202" t="s">
        <v>2560</v>
      </c>
      <c r="D256" s="202" t="s">
        <v>2561</v>
      </c>
      <c r="E256" s="202" t="s">
        <v>928</v>
      </c>
      <c r="F256" s="222">
        <f t="shared" si="32"/>
        <v>12</v>
      </c>
      <c r="G256" s="223" t="str">
        <f t="shared" si="33"/>
        <v>4</v>
      </c>
      <c r="H256" s="224">
        <f t="shared" si="34"/>
        <v>4</v>
      </c>
      <c r="I256" s="223" t="str">
        <f t="shared" si="35"/>
        <v>42 min.</v>
      </c>
      <c r="J256" s="223" t="str">
        <f t="shared" si="36"/>
        <v>42</v>
      </c>
      <c r="K256" s="224">
        <f t="shared" si="37"/>
        <v>42</v>
      </c>
      <c r="L256" s="223" t="str">
        <f t="shared" si="38"/>
        <v>4:42</v>
      </c>
      <c r="M256" s="225">
        <f t="shared" si="39"/>
        <v>0.19583333333333333</v>
      </c>
      <c r="N256" s="203" t="s">
        <v>1604</v>
      </c>
      <c r="O256" s="202" t="s">
        <v>303</v>
      </c>
      <c r="P256" s="203" t="s">
        <v>304</v>
      </c>
      <c r="Q256" s="203" t="s">
        <v>276</v>
      </c>
    </row>
    <row r="257" spans="1:17" s="204" customFormat="1">
      <c r="A257" s="13">
        <v>257</v>
      </c>
      <c r="B257" s="202" t="s">
        <v>2562</v>
      </c>
      <c r="C257" s="202" t="s">
        <v>2563</v>
      </c>
      <c r="D257" s="202" t="s">
        <v>2564</v>
      </c>
      <c r="E257" s="202" t="s">
        <v>2118</v>
      </c>
      <c r="F257" s="222">
        <f t="shared" si="32"/>
        <v>12</v>
      </c>
      <c r="G257" s="223" t="str">
        <f t="shared" si="33"/>
        <v>2</v>
      </c>
      <c r="H257" s="224">
        <f t="shared" si="34"/>
        <v>2</v>
      </c>
      <c r="I257" s="223" t="str">
        <f t="shared" si="35"/>
        <v>25 min.</v>
      </c>
      <c r="J257" s="223" t="str">
        <f t="shared" si="36"/>
        <v>25</v>
      </c>
      <c r="K257" s="224">
        <f t="shared" si="37"/>
        <v>25</v>
      </c>
      <c r="L257" s="223" t="str">
        <f t="shared" si="38"/>
        <v>2:25</v>
      </c>
      <c r="M257" s="225">
        <f t="shared" si="39"/>
        <v>0.10069444444444443</v>
      </c>
      <c r="N257" s="203" t="s">
        <v>2137</v>
      </c>
      <c r="O257" s="202" t="s">
        <v>303</v>
      </c>
      <c r="P257" s="203" t="s">
        <v>304</v>
      </c>
      <c r="Q257" s="203" t="s">
        <v>276</v>
      </c>
    </row>
    <row r="258" spans="1:17" s="204" customFormat="1">
      <c r="A258" s="13">
        <v>258</v>
      </c>
      <c r="B258" s="202" t="s">
        <v>2565</v>
      </c>
      <c r="C258" s="202" t="s">
        <v>2566</v>
      </c>
      <c r="D258" s="202" t="s">
        <v>2567</v>
      </c>
      <c r="E258" s="202" t="s">
        <v>2568</v>
      </c>
      <c r="F258" s="222">
        <f t="shared" si="32"/>
        <v>13</v>
      </c>
      <c r="G258" s="223" t="str">
        <f t="shared" si="33"/>
        <v>10</v>
      </c>
      <c r="H258" s="224">
        <f t="shared" si="34"/>
        <v>10</v>
      </c>
      <c r="I258" s="223" t="str">
        <f t="shared" si="35"/>
        <v>34 min.</v>
      </c>
      <c r="J258" s="223" t="str">
        <f t="shared" si="36"/>
        <v>34</v>
      </c>
      <c r="K258" s="224">
        <f t="shared" si="37"/>
        <v>34</v>
      </c>
      <c r="L258" s="223" t="str">
        <f t="shared" si="38"/>
        <v>10:34</v>
      </c>
      <c r="M258" s="225">
        <f t="shared" si="39"/>
        <v>0.44027777777777777</v>
      </c>
      <c r="N258" s="203" t="s">
        <v>370</v>
      </c>
      <c r="O258" s="202" t="s">
        <v>439</v>
      </c>
      <c r="P258" s="203" t="s">
        <v>304</v>
      </c>
      <c r="Q258" s="203" t="s">
        <v>276</v>
      </c>
    </row>
    <row r="259" spans="1:17" s="13" customFormat="1">
      <c r="A259" s="13">
        <v>259</v>
      </c>
      <c r="B259" s="226">
        <f>COUNTA(B53:B258)</f>
        <v>206</v>
      </c>
      <c r="C259" s="165"/>
      <c r="D259" s="165"/>
      <c r="E259" s="165"/>
      <c r="F259" s="222"/>
      <c r="G259" s="223"/>
      <c r="H259" s="224"/>
      <c r="I259" s="223"/>
      <c r="J259" s="223"/>
      <c r="K259" s="224"/>
      <c r="L259" s="223"/>
      <c r="M259" s="229">
        <f>SUM(M53:M258)</f>
        <v>59.990277777777791</v>
      </c>
      <c r="N259" s="167"/>
      <c r="O259" s="165"/>
      <c r="P259" s="167"/>
      <c r="Q259" s="167"/>
    </row>
    <row r="260" spans="1:17" s="13" customFormat="1">
      <c r="A260" s="13">
        <v>260</v>
      </c>
      <c r="B260" s="227">
        <v>206</v>
      </c>
      <c r="C260" s="165"/>
      <c r="D260" s="165"/>
      <c r="E260" s="165"/>
      <c r="F260" s="222"/>
      <c r="G260" s="223"/>
      <c r="H260" s="224"/>
      <c r="I260" s="223"/>
      <c r="J260" s="223"/>
      <c r="K260" s="224"/>
      <c r="L260" s="223"/>
      <c r="M260" s="228">
        <v>59.990277777777777</v>
      </c>
      <c r="N260" s="171" t="s">
        <v>173</v>
      </c>
      <c r="O260" s="165"/>
      <c r="P260" s="167"/>
      <c r="Q260" s="167"/>
    </row>
    <row r="261" spans="1:17" s="13" customFormat="1">
      <c r="A261" s="13">
        <v>261</v>
      </c>
      <c r="B261" s="227">
        <v>206</v>
      </c>
      <c r="C261" s="230" t="s">
        <v>2606</v>
      </c>
      <c r="D261" s="165"/>
      <c r="E261" s="165"/>
      <c r="F261" s="222"/>
      <c r="G261" s="223"/>
      <c r="H261" s="224"/>
      <c r="I261" s="223"/>
      <c r="J261" s="223"/>
      <c r="K261" s="224"/>
      <c r="L261" s="223"/>
      <c r="M261" s="228">
        <v>59.990277777777777</v>
      </c>
      <c r="N261" s="230" t="s">
        <v>2606</v>
      </c>
      <c r="O261" s="165"/>
      <c r="P261" s="167"/>
      <c r="Q261" s="167"/>
    </row>
    <row r="262" spans="1:17" s="13" customFormat="1">
      <c r="A262" s="13">
        <v>262</v>
      </c>
      <c r="B262" s="165"/>
      <c r="C262" s="165"/>
      <c r="D262" s="165"/>
      <c r="E262" s="165"/>
      <c r="F262" s="222"/>
      <c r="G262" s="165"/>
      <c r="H262" s="165"/>
      <c r="I262" s="165"/>
      <c r="J262" s="165"/>
      <c r="K262" s="165"/>
      <c r="L262" s="165"/>
      <c r="M262" s="165"/>
      <c r="N262" s="167"/>
      <c r="O262" s="165"/>
      <c r="P262" s="167"/>
      <c r="Q262" s="167"/>
    </row>
    <row r="263" spans="1:17" s="13" customFormat="1">
      <c r="A263" s="13">
        <v>263</v>
      </c>
      <c r="B263" s="226">
        <f>B259+B42</f>
        <v>246</v>
      </c>
      <c r="C263" s="231" t="s">
        <v>2612</v>
      </c>
      <c r="D263" s="165"/>
      <c r="E263" s="165"/>
      <c r="F263" s="222"/>
      <c r="G263" s="165"/>
      <c r="H263" s="165"/>
      <c r="I263" s="165"/>
      <c r="J263" s="165"/>
      <c r="K263" s="165"/>
      <c r="L263" s="165"/>
      <c r="M263" s="232">
        <f>M259+M42</f>
        <v>71.304861111111123</v>
      </c>
      <c r="N263" s="231" t="s">
        <v>2612</v>
      </c>
      <c r="O263" s="165"/>
      <c r="P263" s="167"/>
      <c r="Q263" s="167"/>
    </row>
    <row r="264" spans="1:17" s="13" customFormat="1">
      <c r="A264" s="13">
        <v>264</v>
      </c>
      <c r="B264" s="165"/>
      <c r="C264" s="165"/>
      <c r="D264" s="165"/>
      <c r="E264" s="165"/>
      <c r="F264" s="222"/>
      <c r="G264" s="165"/>
      <c r="H264" s="165"/>
      <c r="I264" s="165"/>
      <c r="J264" s="165"/>
      <c r="K264" s="165"/>
      <c r="L264" s="165"/>
      <c r="M264" s="165"/>
      <c r="N264" s="167"/>
      <c r="O264" s="165"/>
      <c r="P264" s="167"/>
      <c r="Q264" s="167"/>
    </row>
    <row r="265" spans="1:17" s="13" customFormat="1">
      <c r="A265" s="13">
        <v>265</v>
      </c>
      <c r="B265" s="165"/>
      <c r="C265" s="165"/>
      <c r="D265" s="165"/>
      <c r="E265" s="165"/>
      <c r="F265" s="222"/>
      <c r="G265" s="165"/>
      <c r="H265" s="165"/>
      <c r="I265" s="165"/>
      <c r="J265" s="165"/>
      <c r="K265" s="165"/>
      <c r="L265" s="165"/>
      <c r="M265" s="165"/>
      <c r="N265" s="167"/>
      <c r="O265" s="165"/>
      <c r="P265" s="167"/>
      <c r="Q265" s="167"/>
    </row>
    <row r="266" spans="1:17" s="13" customFormat="1">
      <c r="A266" s="13">
        <v>266</v>
      </c>
      <c r="B266" s="165"/>
      <c r="C266" s="165"/>
      <c r="D266" s="165"/>
      <c r="E266" s="165"/>
      <c r="F266" s="222"/>
      <c r="G266" s="165"/>
      <c r="H266" s="165"/>
      <c r="I266" s="165"/>
      <c r="J266" s="165"/>
      <c r="K266" s="165"/>
      <c r="L266" s="165"/>
      <c r="M266" s="165"/>
      <c r="N266" s="167"/>
      <c r="O266" s="165"/>
      <c r="P266" s="167"/>
      <c r="Q266" s="167"/>
    </row>
    <row r="267" spans="1:17" s="13" customFormat="1">
      <c r="A267" s="13">
        <v>267</v>
      </c>
      <c r="B267" s="165"/>
      <c r="C267" s="165"/>
      <c r="D267" s="165"/>
      <c r="E267" s="165"/>
      <c r="F267" s="222"/>
      <c r="G267" s="165"/>
      <c r="H267" s="165"/>
      <c r="I267" s="165"/>
      <c r="J267" s="165"/>
      <c r="K267" s="165"/>
      <c r="L267" s="165"/>
      <c r="M267" s="165"/>
      <c r="N267" s="167"/>
      <c r="O267" s="165"/>
      <c r="P267" s="167"/>
      <c r="Q267" s="167"/>
    </row>
    <row r="268" spans="1:17" s="13" customFormat="1">
      <c r="A268" s="13">
        <v>268</v>
      </c>
      <c r="B268" s="165"/>
      <c r="C268" s="165"/>
      <c r="D268" s="165"/>
      <c r="E268" s="165"/>
      <c r="F268" s="222"/>
      <c r="G268" s="165"/>
      <c r="H268" s="165"/>
      <c r="I268" s="165"/>
      <c r="J268" s="165"/>
      <c r="K268" s="165"/>
      <c r="L268" s="165"/>
      <c r="M268" s="165"/>
      <c r="N268" s="167"/>
      <c r="O268" s="165"/>
      <c r="P268" s="167"/>
      <c r="Q268" s="167"/>
    </row>
    <row r="269" spans="1:17" s="195" customFormat="1">
      <c r="A269" s="13">
        <v>269</v>
      </c>
      <c r="B269" s="193" t="s">
        <v>269</v>
      </c>
      <c r="C269" s="193" t="s">
        <v>270</v>
      </c>
      <c r="D269" s="193" t="s">
        <v>271</v>
      </c>
      <c r="E269" s="193" t="s">
        <v>272</v>
      </c>
      <c r="F269" s="222">
        <f t="shared" ref="F269:F300" si="40">LEN(E269)</f>
        <v>13</v>
      </c>
      <c r="G269" s="223" t="str">
        <f t="shared" ref="G269:G300" si="41">IF(F269=12,LEFT(E269,1),LEFT(E269,2))</f>
        <v>12</v>
      </c>
      <c r="H269" s="224">
        <f t="shared" ref="H269:H300" si="42">VALUE(G269)</f>
        <v>12</v>
      </c>
      <c r="I269" s="223" t="str">
        <f t="shared" ref="I269:I300" si="43">RIGHT(E269,7)</f>
        <v>48 min.</v>
      </c>
      <c r="J269" s="223" t="str">
        <f t="shared" ref="J269:J300" si="44">LEFT(I269,2)</f>
        <v>48</v>
      </c>
      <c r="K269" s="224">
        <f t="shared" ref="K269:K300" si="45">VALUE(J269)</f>
        <v>48</v>
      </c>
      <c r="L269" s="223" t="str">
        <f t="shared" ref="L269:L300" si="46">H269&amp;":"&amp;K269</f>
        <v>12:48</v>
      </c>
      <c r="M269" s="225">
        <f t="shared" ref="M269:M300" si="47">VALUE(L269)</f>
        <v>0.53333333333333333</v>
      </c>
      <c r="N269" s="194" t="s">
        <v>273</v>
      </c>
      <c r="O269" s="193" t="s">
        <v>274</v>
      </c>
      <c r="P269" s="194" t="s">
        <v>275</v>
      </c>
      <c r="Q269" s="194" t="s">
        <v>276</v>
      </c>
    </row>
    <row r="270" spans="1:17" s="195" customFormat="1">
      <c r="A270" s="13">
        <v>270</v>
      </c>
      <c r="B270" s="193" t="s">
        <v>277</v>
      </c>
      <c r="C270" s="193" t="s">
        <v>270</v>
      </c>
      <c r="D270" s="193" t="s">
        <v>278</v>
      </c>
      <c r="E270" s="193" t="s">
        <v>279</v>
      </c>
      <c r="F270" s="222">
        <f t="shared" si="40"/>
        <v>13</v>
      </c>
      <c r="G270" s="223" t="str">
        <f t="shared" si="41"/>
        <v>13</v>
      </c>
      <c r="H270" s="224">
        <f t="shared" si="42"/>
        <v>13</v>
      </c>
      <c r="I270" s="223" t="str">
        <f t="shared" si="43"/>
        <v>22 min.</v>
      </c>
      <c r="J270" s="223" t="str">
        <f t="shared" si="44"/>
        <v>22</v>
      </c>
      <c r="K270" s="224">
        <f t="shared" si="45"/>
        <v>22</v>
      </c>
      <c r="L270" s="223" t="str">
        <f t="shared" si="46"/>
        <v>13:22</v>
      </c>
      <c r="M270" s="225">
        <f t="shared" si="47"/>
        <v>0.55694444444444446</v>
      </c>
      <c r="N270" s="194" t="s">
        <v>280</v>
      </c>
      <c r="O270" s="193" t="s">
        <v>274</v>
      </c>
      <c r="P270" s="194" t="s">
        <v>275</v>
      </c>
      <c r="Q270" s="194" t="s">
        <v>276</v>
      </c>
    </row>
    <row r="271" spans="1:17" s="195" customFormat="1">
      <c r="A271" s="13">
        <v>271</v>
      </c>
      <c r="B271" s="193" t="s">
        <v>281</v>
      </c>
      <c r="C271" s="193" t="s">
        <v>282</v>
      </c>
      <c r="D271" s="193" t="s">
        <v>283</v>
      </c>
      <c r="E271" s="193" t="s">
        <v>284</v>
      </c>
      <c r="F271" s="222">
        <f t="shared" si="40"/>
        <v>13</v>
      </c>
      <c r="G271" s="223" t="str">
        <f t="shared" si="41"/>
        <v>10</v>
      </c>
      <c r="H271" s="224">
        <f t="shared" si="42"/>
        <v>10</v>
      </c>
      <c r="I271" s="223" t="str">
        <f t="shared" si="43"/>
        <v>57 min.</v>
      </c>
      <c r="J271" s="223" t="str">
        <f t="shared" si="44"/>
        <v>57</v>
      </c>
      <c r="K271" s="224">
        <f t="shared" si="45"/>
        <v>57</v>
      </c>
      <c r="L271" s="223" t="str">
        <f t="shared" si="46"/>
        <v>10:57</v>
      </c>
      <c r="M271" s="225">
        <f t="shared" si="47"/>
        <v>0.45624999999999999</v>
      </c>
      <c r="N271" s="194" t="s">
        <v>285</v>
      </c>
      <c r="O271" s="193" t="s">
        <v>286</v>
      </c>
      <c r="P271" s="194" t="s">
        <v>275</v>
      </c>
      <c r="Q271" s="194" t="s">
        <v>276</v>
      </c>
    </row>
    <row r="272" spans="1:17" s="195" customFormat="1">
      <c r="A272" s="13">
        <v>272</v>
      </c>
      <c r="B272" s="193" t="s">
        <v>287</v>
      </c>
      <c r="C272" s="193" t="s">
        <v>288</v>
      </c>
      <c r="D272" s="193" t="s">
        <v>289</v>
      </c>
      <c r="E272" s="193" t="s">
        <v>290</v>
      </c>
      <c r="F272" s="222">
        <f t="shared" si="40"/>
        <v>12</v>
      </c>
      <c r="G272" s="223" t="str">
        <f t="shared" si="41"/>
        <v>2</v>
      </c>
      <c r="H272" s="224">
        <f t="shared" si="42"/>
        <v>2</v>
      </c>
      <c r="I272" s="223" t="str">
        <f t="shared" si="43"/>
        <v>34 min.</v>
      </c>
      <c r="J272" s="223" t="str">
        <f t="shared" si="44"/>
        <v>34</v>
      </c>
      <c r="K272" s="224">
        <f t="shared" si="45"/>
        <v>34</v>
      </c>
      <c r="L272" s="223" t="str">
        <f t="shared" si="46"/>
        <v>2:34</v>
      </c>
      <c r="M272" s="225">
        <f t="shared" si="47"/>
        <v>0.10694444444444444</v>
      </c>
      <c r="N272" s="194" t="s">
        <v>291</v>
      </c>
      <c r="O272" s="193" t="s">
        <v>292</v>
      </c>
      <c r="P272" s="194" t="s">
        <v>275</v>
      </c>
      <c r="Q272" s="194" t="s">
        <v>276</v>
      </c>
    </row>
    <row r="273" spans="1:17" s="195" customFormat="1">
      <c r="A273" s="13">
        <v>273</v>
      </c>
      <c r="B273" s="193" t="s">
        <v>293</v>
      </c>
      <c r="C273" s="193" t="s">
        <v>294</v>
      </c>
      <c r="D273" s="193" t="s">
        <v>295</v>
      </c>
      <c r="E273" s="193" t="s">
        <v>296</v>
      </c>
      <c r="F273" s="222">
        <f t="shared" si="40"/>
        <v>12</v>
      </c>
      <c r="G273" s="223" t="str">
        <f t="shared" si="41"/>
        <v>1</v>
      </c>
      <c r="H273" s="224">
        <f t="shared" si="42"/>
        <v>1</v>
      </c>
      <c r="I273" s="223" t="str">
        <f t="shared" si="43"/>
        <v>13 min.</v>
      </c>
      <c r="J273" s="223" t="str">
        <f t="shared" si="44"/>
        <v>13</v>
      </c>
      <c r="K273" s="224">
        <f t="shared" si="45"/>
        <v>13</v>
      </c>
      <c r="L273" s="223" t="str">
        <f t="shared" si="46"/>
        <v>1:13</v>
      </c>
      <c r="M273" s="225">
        <f t="shared" si="47"/>
        <v>5.0694444444444452E-2</v>
      </c>
      <c r="N273" s="194" t="s">
        <v>297</v>
      </c>
      <c r="O273" s="193" t="s">
        <v>298</v>
      </c>
      <c r="P273" s="194" t="s">
        <v>275</v>
      </c>
      <c r="Q273" s="194" t="s">
        <v>276</v>
      </c>
    </row>
    <row r="274" spans="1:17" s="195" customFormat="1">
      <c r="A274" s="13">
        <v>274</v>
      </c>
      <c r="B274" s="193" t="s">
        <v>311</v>
      </c>
      <c r="C274" s="193" t="s">
        <v>312</v>
      </c>
      <c r="D274" s="193" t="s">
        <v>313</v>
      </c>
      <c r="E274" s="193" t="s">
        <v>2585</v>
      </c>
      <c r="F274" s="222">
        <f t="shared" si="40"/>
        <v>13</v>
      </c>
      <c r="G274" s="223" t="str">
        <f t="shared" si="41"/>
        <v>00</v>
      </c>
      <c r="H274" s="224">
        <f t="shared" si="42"/>
        <v>0</v>
      </c>
      <c r="I274" s="223" t="str">
        <f t="shared" si="43"/>
        <v>44 min.</v>
      </c>
      <c r="J274" s="223" t="str">
        <f t="shared" si="44"/>
        <v>44</v>
      </c>
      <c r="K274" s="224">
        <f t="shared" si="45"/>
        <v>44</v>
      </c>
      <c r="L274" s="223" t="str">
        <f t="shared" si="46"/>
        <v>0:44</v>
      </c>
      <c r="M274" s="225">
        <f t="shared" si="47"/>
        <v>3.0555555555555555E-2</v>
      </c>
      <c r="N274" s="194" t="s">
        <v>314</v>
      </c>
      <c r="O274" s="193" t="s">
        <v>315</v>
      </c>
      <c r="P274" s="194" t="s">
        <v>275</v>
      </c>
      <c r="Q274" s="194" t="s">
        <v>276</v>
      </c>
    </row>
    <row r="275" spans="1:17" s="195" customFormat="1">
      <c r="A275" s="13">
        <v>275</v>
      </c>
      <c r="B275" s="193" t="s">
        <v>322</v>
      </c>
      <c r="C275" s="193" t="s">
        <v>323</v>
      </c>
      <c r="D275" s="193" t="s">
        <v>324</v>
      </c>
      <c r="E275" s="193" t="s">
        <v>325</v>
      </c>
      <c r="F275" s="222">
        <f t="shared" si="40"/>
        <v>12</v>
      </c>
      <c r="G275" s="223" t="str">
        <f t="shared" si="41"/>
        <v>1</v>
      </c>
      <c r="H275" s="224">
        <f t="shared" si="42"/>
        <v>1</v>
      </c>
      <c r="I275" s="223" t="str">
        <f t="shared" si="43"/>
        <v>38 min.</v>
      </c>
      <c r="J275" s="223" t="str">
        <f t="shared" si="44"/>
        <v>38</v>
      </c>
      <c r="K275" s="224">
        <f t="shared" si="45"/>
        <v>38</v>
      </c>
      <c r="L275" s="223" t="str">
        <f t="shared" si="46"/>
        <v>1:38</v>
      </c>
      <c r="M275" s="225">
        <f t="shared" si="47"/>
        <v>6.805555555555555E-2</v>
      </c>
      <c r="N275" s="194" t="s">
        <v>326</v>
      </c>
      <c r="O275" s="193" t="s">
        <v>327</v>
      </c>
      <c r="P275" s="194" t="s">
        <v>275</v>
      </c>
      <c r="Q275" s="194" t="s">
        <v>276</v>
      </c>
    </row>
    <row r="276" spans="1:17" s="195" customFormat="1">
      <c r="A276" s="13">
        <v>276</v>
      </c>
      <c r="B276" s="193" t="s">
        <v>460</v>
      </c>
      <c r="C276" s="193" t="s">
        <v>461</v>
      </c>
      <c r="D276" s="193" t="s">
        <v>462</v>
      </c>
      <c r="E276" s="193" t="s">
        <v>453</v>
      </c>
      <c r="F276" s="222">
        <f t="shared" si="40"/>
        <v>12</v>
      </c>
      <c r="G276" s="223" t="str">
        <f t="shared" si="41"/>
        <v>1</v>
      </c>
      <c r="H276" s="224">
        <f t="shared" si="42"/>
        <v>1</v>
      </c>
      <c r="I276" s="223" t="str">
        <f t="shared" si="43"/>
        <v>07 min.</v>
      </c>
      <c r="J276" s="223" t="str">
        <f t="shared" si="44"/>
        <v>07</v>
      </c>
      <c r="K276" s="224">
        <f t="shared" si="45"/>
        <v>7</v>
      </c>
      <c r="L276" s="223" t="str">
        <f t="shared" si="46"/>
        <v>1:7</v>
      </c>
      <c r="M276" s="225">
        <f t="shared" si="47"/>
        <v>4.6527777777777779E-2</v>
      </c>
      <c r="N276" s="194" t="s">
        <v>463</v>
      </c>
      <c r="O276" s="193" t="s">
        <v>464</v>
      </c>
      <c r="P276" s="194" t="s">
        <v>275</v>
      </c>
      <c r="Q276" s="194" t="s">
        <v>276</v>
      </c>
    </row>
    <row r="277" spans="1:17" s="195" customFormat="1">
      <c r="A277" s="13">
        <v>277</v>
      </c>
      <c r="B277" s="193" t="s">
        <v>465</v>
      </c>
      <c r="C277" s="193" t="s">
        <v>466</v>
      </c>
      <c r="D277" s="193" t="s">
        <v>467</v>
      </c>
      <c r="E277" s="193" t="s">
        <v>2590</v>
      </c>
      <c r="F277" s="222">
        <f t="shared" si="40"/>
        <v>13</v>
      </c>
      <c r="G277" s="223" t="str">
        <f t="shared" si="41"/>
        <v>00</v>
      </c>
      <c r="H277" s="224">
        <f t="shared" si="42"/>
        <v>0</v>
      </c>
      <c r="I277" s="223" t="str">
        <f t="shared" si="43"/>
        <v>26 min.</v>
      </c>
      <c r="J277" s="223" t="str">
        <f t="shared" si="44"/>
        <v>26</v>
      </c>
      <c r="K277" s="224">
        <f t="shared" si="45"/>
        <v>26</v>
      </c>
      <c r="L277" s="223" t="str">
        <f t="shared" si="46"/>
        <v>0:26</v>
      </c>
      <c r="M277" s="225">
        <f t="shared" si="47"/>
        <v>1.8055555555555557E-2</v>
      </c>
      <c r="N277" s="194" t="s">
        <v>285</v>
      </c>
      <c r="O277" s="193" t="s">
        <v>343</v>
      </c>
      <c r="P277" s="194" t="s">
        <v>275</v>
      </c>
      <c r="Q277" s="194" t="s">
        <v>276</v>
      </c>
    </row>
    <row r="278" spans="1:17" s="195" customFormat="1">
      <c r="A278" s="13">
        <v>278</v>
      </c>
      <c r="B278" s="193" t="s">
        <v>468</v>
      </c>
      <c r="C278" s="193" t="s">
        <v>469</v>
      </c>
      <c r="D278" s="193" t="s">
        <v>470</v>
      </c>
      <c r="E278" s="193" t="s">
        <v>471</v>
      </c>
      <c r="F278" s="222">
        <f t="shared" si="40"/>
        <v>12</v>
      </c>
      <c r="G278" s="223" t="str">
        <f t="shared" si="41"/>
        <v>1</v>
      </c>
      <c r="H278" s="224">
        <f t="shared" si="42"/>
        <v>1</v>
      </c>
      <c r="I278" s="223" t="str">
        <f t="shared" si="43"/>
        <v>28 min.</v>
      </c>
      <c r="J278" s="223" t="str">
        <f t="shared" si="44"/>
        <v>28</v>
      </c>
      <c r="K278" s="224">
        <f t="shared" si="45"/>
        <v>28</v>
      </c>
      <c r="L278" s="223" t="str">
        <f t="shared" si="46"/>
        <v>1:28</v>
      </c>
      <c r="M278" s="225">
        <f t="shared" si="47"/>
        <v>6.1111111111111116E-2</v>
      </c>
      <c r="N278" s="194" t="s">
        <v>472</v>
      </c>
      <c r="O278" s="193" t="s">
        <v>343</v>
      </c>
      <c r="P278" s="194" t="s">
        <v>275</v>
      </c>
      <c r="Q278" s="194" t="s">
        <v>276</v>
      </c>
    </row>
    <row r="279" spans="1:17" s="195" customFormat="1">
      <c r="A279" s="13">
        <v>279</v>
      </c>
      <c r="B279" s="193" t="s">
        <v>497</v>
      </c>
      <c r="C279" s="193" t="s">
        <v>498</v>
      </c>
      <c r="D279" s="193" t="s">
        <v>499</v>
      </c>
      <c r="E279" s="193" t="s">
        <v>2591</v>
      </c>
      <c r="F279" s="222">
        <f t="shared" si="40"/>
        <v>13</v>
      </c>
      <c r="G279" s="223" t="str">
        <f t="shared" si="41"/>
        <v>00</v>
      </c>
      <c r="H279" s="224">
        <f t="shared" si="42"/>
        <v>0</v>
      </c>
      <c r="I279" s="223" t="str">
        <f t="shared" si="43"/>
        <v>25 min.</v>
      </c>
      <c r="J279" s="223" t="str">
        <f t="shared" si="44"/>
        <v>25</v>
      </c>
      <c r="K279" s="224">
        <f t="shared" si="45"/>
        <v>25</v>
      </c>
      <c r="L279" s="223" t="str">
        <f t="shared" si="46"/>
        <v>0:25</v>
      </c>
      <c r="M279" s="225">
        <f t="shared" si="47"/>
        <v>1.7361111111111112E-2</v>
      </c>
      <c r="N279" s="194" t="s">
        <v>500</v>
      </c>
      <c r="O279" s="193" t="s">
        <v>343</v>
      </c>
      <c r="P279" s="194" t="s">
        <v>275</v>
      </c>
      <c r="Q279" s="194" t="s">
        <v>276</v>
      </c>
    </row>
    <row r="280" spans="1:17" s="195" customFormat="1">
      <c r="A280" s="13">
        <v>280</v>
      </c>
      <c r="B280" s="193" t="s">
        <v>511</v>
      </c>
      <c r="C280" s="193" t="s">
        <v>512</v>
      </c>
      <c r="D280" s="193" t="s">
        <v>513</v>
      </c>
      <c r="E280" s="193" t="s">
        <v>514</v>
      </c>
      <c r="F280" s="222">
        <f t="shared" si="40"/>
        <v>12</v>
      </c>
      <c r="G280" s="223" t="str">
        <f t="shared" si="41"/>
        <v>2</v>
      </c>
      <c r="H280" s="224">
        <f t="shared" si="42"/>
        <v>2</v>
      </c>
      <c r="I280" s="223" t="str">
        <f t="shared" si="43"/>
        <v>32 min.</v>
      </c>
      <c r="J280" s="223" t="str">
        <f t="shared" si="44"/>
        <v>32</v>
      </c>
      <c r="K280" s="224">
        <f t="shared" si="45"/>
        <v>32</v>
      </c>
      <c r="L280" s="223" t="str">
        <f t="shared" si="46"/>
        <v>2:32</v>
      </c>
      <c r="M280" s="225">
        <f t="shared" si="47"/>
        <v>0.10555555555555556</v>
      </c>
      <c r="N280" s="194" t="s">
        <v>515</v>
      </c>
      <c r="O280" s="193" t="s">
        <v>516</v>
      </c>
      <c r="P280" s="194" t="s">
        <v>275</v>
      </c>
      <c r="Q280" s="194" t="s">
        <v>276</v>
      </c>
    </row>
    <row r="281" spans="1:17" s="195" customFormat="1">
      <c r="A281" s="13">
        <v>281</v>
      </c>
      <c r="B281" s="193" t="s">
        <v>537</v>
      </c>
      <c r="C281" s="193" t="s">
        <v>538</v>
      </c>
      <c r="D281" s="193" t="s">
        <v>539</v>
      </c>
      <c r="E281" s="193" t="s">
        <v>2592</v>
      </c>
      <c r="F281" s="222">
        <f t="shared" si="40"/>
        <v>13</v>
      </c>
      <c r="G281" s="223" t="str">
        <f t="shared" si="41"/>
        <v>00</v>
      </c>
      <c r="H281" s="224">
        <f t="shared" si="42"/>
        <v>0</v>
      </c>
      <c r="I281" s="223" t="str">
        <f t="shared" si="43"/>
        <v>24 min.</v>
      </c>
      <c r="J281" s="223" t="str">
        <f t="shared" si="44"/>
        <v>24</v>
      </c>
      <c r="K281" s="224">
        <f t="shared" si="45"/>
        <v>24</v>
      </c>
      <c r="L281" s="223" t="str">
        <f t="shared" si="46"/>
        <v>0:24</v>
      </c>
      <c r="M281" s="225">
        <f t="shared" si="47"/>
        <v>1.6666666666666666E-2</v>
      </c>
      <c r="N281" s="194" t="s">
        <v>540</v>
      </c>
      <c r="O281" s="193" t="s">
        <v>343</v>
      </c>
      <c r="P281" s="194" t="s">
        <v>275</v>
      </c>
      <c r="Q281" s="194" t="s">
        <v>276</v>
      </c>
    </row>
    <row r="282" spans="1:17" s="195" customFormat="1">
      <c r="A282" s="13">
        <v>282</v>
      </c>
      <c r="B282" s="193" t="s">
        <v>636</v>
      </c>
      <c r="C282" s="193" t="s">
        <v>637</v>
      </c>
      <c r="D282" s="193" t="s">
        <v>638</v>
      </c>
      <c r="E282" s="193" t="s">
        <v>2593</v>
      </c>
      <c r="F282" s="222">
        <f t="shared" si="40"/>
        <v>13</v>
      </c>
      <c r="G282" s="223" t="str">
        <f t="shared" si="41"/>
        <v>00</v>
      </c>
      <c r="H282" s="224">
        <f t="shared" si="42"/>
        <v>0</v>
      </c>
      <c r="I282" s="223" t="str">
        <f t="shared" si="43"/>
        <v>17 min.</v>
      </c>
      <c r="J282" s="223" t="str">
        <f t="shared" si="44"/>
        <v>17</v>
      </c>
      <c r="K282" s="224">
        <f t="shared" si="45"/>
        <v>17</v>
      </c>
      <c r="L282" s="223" t="str">
        <f t="shared" si="46"/>
        <v>0:17</v>
      </c>
      <c r="M282" s="225">
        <f t="shared" si="47"/>
        <v>1.1805555555555555E-2</v>
      </c>
      <c r="N282" s="194" t="s">
        <v>639</v>
      </c>
      <c r="O282" s="193" t="s">
        <v>343</v>
      </c>
      <c r="P282" s="194" t="s">
        <v>275</v>
      </c>
      <c r="Q282" s="194" t="s">
        <v>276</v>
      </c>
    </row>
    <row r="283" spans="1:17" s="195" customFormat="1">
      <c r="A283" s="13">
        <v>283</v>
      </c>
      <c r="B283" s="193" t="s">
        <v>767</v>
      </c>
      <c r="C283" s="193" t="s">
        <v>768</v>
      </c>
      <c r="D283" s="193" t="s">
        <v>769</v>
      </c>
      <c r="E283" s="193" t="s">
        <v>770</v>
      </c>
      <c r="F283" s="222">
        <f t="shared" si="40"/>
        <v>12</v>
      </c>
      <c r="G283" s="223" t="str">
        <f t="shared" si="41"/>
        <v>7</v>
      </c>
      <c r="H283" s="224">
        <f t="shared" si="42"/>
        <v>7</v>
      </c>
      <c r="I283" s="223" t="str">
        <f t="shared" si="43"/>
        <v>53 min.</v>
      </c>
      <c r="J283" s="223" t="str">
        <f t="shared" si="44"/>
        <v>53</v>
      </c>
      <c r="K283" s="224">
        <f t="shared" si="45"/>
        <v>53</v>
      </c>
      <c r="L283" s="223" t="str">
        <f t="shared" si="46"/>
        <v>7:53</v>
      </c>
      <c r="M283" s="225">
        <f t="shared" si="47"/>
        <v>0.32847222222222222</v>
      </c>
      <c r="N283" s="194" t="s">
        <v>771</v>
      </c>
      <c r="O283" s="193" t="s">
        <v>303</v>
      </c>
      <c r="P283" s="194" t="s">
        <v>275</v>
      </c>
      <c r="Q283" s="194" t="s">
        <v>276</v>
      </c>
    </row>
    <row r="284" spans="1:17" s="195" customFormat="1">
      <c r="A284" s="13">
        <v>284</v>
      </c>
      <c r="B284" s="193" t="s">
        <v>772</v>
      </c>
      <c r="C284" s="193" t="s">
        <v>773</v>
      </c>
      <c r="D284" s="193" t="s">
        <v>774</v>
      </c>
      <c r="E284" s="193" t="s">
        <v>775</v>
      </c>
      <c r="F284" s="222">
        <f t="shared" si="40"/>
        <v>13</v>
      </c>
      <c r="G284" s="223" t="str">
        <f t="shared" si="41"/>
        <v>22</v>
      </c>
      <c r="H284" s="224">
        <f t="shared" si="42"/>
        <v>22</v>
      </c>
      <c r="I284" s="223" t="str">
        <f t="shared" si="43"/>
        <v>37 min.</v>
      </c>
      <c r="J284" s="223" t="str">
        <f t="shared" si="44"/>
        <v>37</v>
      </c>
      <c r="K284" s="224">
        <f t="shared" si="45"/>
        <v>37</v>
      </c>
      <c r="L284" s="223" t="str">
        <f t="shared" si="46"/>
        <v>22:37</v>
      </c>
      <c r="M284" s="225">
        <f t="shared" si="47"/>
        <v>0.94236111111111109</v>
      </c>
      <c r="N284" s="194" t="s">
        <v>776</v>
      </c>
      <c r="O284" s="193" t="s">
        <v>459</v>
      </c>
      <c r="P284" s="194" t="s">
        <v>275</v>
      </c>
      <c r="Q284" s="194" t="s">
        <v>276</v>
      </c>
    </row>
    <row r="285" spans="1:17" s="195" customFormat="1">
      <c r="A285" s="13">
        <v>285</v>
      </c>
      <c r="B285" s="193" t="s">
        <v>777</v>
      </c>
      <c r="C285" s="193" t="s">
        <v>778</v>
      </c>
      <c r="D285" s="193" t="s">
        <v>779</v>
      </c>
      <c r="E285" s="193" t="s">
        <v>780</v>
      </c>
      <c r="F285" s="222">
        <f t="shared" si="40"/>
        <v>13</v>
      </c>
      <c r="G285" s="223" t="str">
        <f t="shared" si="41"/>
        <v>12</v>
      </c>
      <c r="H285" s="224">
        <f t="shared" si="42"/>
        <v>12</v>
      </c>
      <c r="I285" s="223" t="str">
        <f t="shared" si="43"/>
        <v>03 min.</v>
      </c>
      <c r="J285" s="223" t="str">
        <f t="shared" si="44"/>
        <v>03</v>
      </c>
      <c r="K285" s="224">
        <f t="shared" si="45"/>
        <v>3</v>
      </c>
      <c r="L285" s="223" t="str">
        <f t="shared" si="46"/>
        <v>12:3</v>
      </c>
      <c r="M285" s="225">
        <f t="shared" si="47"/>
        <v>0.50208333333333333</v>
      </c>
      <c r="N285" s="194" t="s">
        <v>781</v>
      </c>
      <c r="O285" s="193" t="s">
        <v>536</v>
      </c>
      <c r="P285" s="194" t="s">
        <v>275</v>
      </c>
      <c r="Q285" s="194" t="s">
        <v>276</v>
      </c>
    </row>
    <row r="286" spans="1:17" s="195" customFormat="1">
      <c r="A286" s="13">
        <v>286</v>
      </c>
      <c r="B286" s="193" t="s">
        <v>782</v>
      </c>
      <c r="C286" s="193" t="s">
        <v>783</v>
      </c>
      <c r="D286" s="193" t="s">
        <v>784</v>
      </c>
      <c r="E286" s="193" t="s">
        <v>785</v>
      </c>
      <c r="F286" s="222">
        <f t="shared" si="40"/>
        <v>13</v>
      </c>
      <c r="G286" s="223" t="str">
        <f t="shared" si="41"/>
        <v>10</v>
      </c>
      <c r="H286" s="224">
        <f t="shared" si="42"/>
        <v>10</v>
      </c>
      <c r="I286" s="223" t="str">
        <f t="shared" si="43"/>
        <v>52 min.</v>
      </c>
      <c r="J286" s="223" t="str">
        <f t="shared" si="44"/>
        <v>52</v>
      </c>
      <c r="K286" s="224">
        <f t="shared" si="45"/>
        <v>52</v>
      </c>
      <c r="L286" s="223" t="str">
        <f t="shared" si="46"/>
        <v>10:52</v>
      </c>
      <c r="M286" s="225">
        <f t="shared" si="47"/>
        <v>0.45277777777777778</v>
      </c>
      <c r="N286" s="194" t="s">
        <v>786</v>
      </c>
      <c r="O286" s="193" t="s">
        <v>274</v>
      </c>
      <c r="P286" s="194" t="s">
        <v>275</v>
      </c>
      <c r="Q286" s="194" t="s">
        <v>276</v>
      </c>
    </row>
    <row r="287" spans="1:17" s="195" customFormat="1">
      <c r="A287" s="13">
        <v>287</v>
      </c>
      <c r="B287" s="193" t="s">
        <v>787</v>
      </c>
      <c r="C287" s="193" t="s">
        <v>788</v>
      </c>
      <c r="D287" s="193" t="s">
        <v>789</v>
      </c>
      <c r="E287" s="193" t="s">
        <v>2594</v>
      </c>
      <c r="F287" s="222">
        <f t="shared" si="40"/>
        <v>13</v>
      </c>
      <c r="G287" s="223" t="str">
        <f t="shared" si="41"/>
        <v>00</v>
      </c>
      <c r="H287" s="224">
        <f t="shared" si="42"/>
        <v>0</v>
      </c>
      <c r="I287" s="223" t="str">
        <f t="shared" si="43"/>
        <v>37 min.</v>
      </c>
      <c r="J287" s="223" t="str">
        <f t="shared" si="44"/>
        <v>37</v>
      </c>
      <c r="K287" s="224">
        <f t="shared" si="45"/>
        <v>37</v>
      </c>
      <c r="L287" s="223" t="str">
        <f t="shared" si="46"/>
        <v>0:37</v>
      </c>
      <c r="M287" s="225">
        <f t="shared" si="47"/>
        <v>2.5694444444444447E-2</v>
      </c>
      <c r="N287" s="194" t="s">
        <v>790</v>
      </c>
      <c r="O287" s="193" t="s">
        <v>343</v>
      </c>
      <c r="P287" s="194" t="s">
        <v>275</v>
      </c>
      <c r="Q287" s="194" t="s">
        <v>276</v>
      </c>
    </row>
    <row r="288" spans="1:17" s="195" customFormat="1">
      <c r="A288" s="13">
        <v>288</v>
      </c>
      <c r="B288" s="193" t="s">
        <v>791</v>
      </c>
      <c r="C288" s="193" t="s">
        <v>792</v>
      </c>
      <c r="D288" s="193" t="s">
        <v>793</v>
      </c>
      <c r="E288" s="193" t="s">
        <v>794</v>
      </c>
      <c r="F288" s="222">
        <f t="shared" si="40"/>
        <v>13</v>
      </c>
      <c r="G288" s="223" t="str">
        <f t="shared" si="41"/>
        <v>21</v>
      </c>
      <c r="H288" s="224">
        <f t="shared" si="42"/>
        <v>21</v>
      </c>
      <c r="I288" s="223" t="str">
        <f t="shared" si="43"/>
        <v>30 min.</v>
      </c>
      <c r="J288" s="223" t="str">
        <f t="shared" si="44"/>
        <v>30</v>
      </c>
      <c r="K288" s="224">
        <f t="shared" si="45"/>
        <v>30</v>
      </c>
      <c r="L288" s="223" t="str">
        <f t="shared" si="46"/>
        <v>21:30</v>
      </c>
      <c r="M288" s="225">
        <f t="shared" si="47"/>
        <v>0.89583333333333337</v>
      </c>
      <c r="N288" s="194" t="s">
        <v>795</v>
      </c>
      <c r="O288" s="193" t="s">
        <v>274</v>
      </c>
      <c r="P288" s="194" t="s">
        <v>275</v>
      </c>
      <c r="Q288" s="194" t="s">
        <v>276</v>
      </c>
    </row>
    <row r="289" spans="1:17" s="195" customFormat="1">
      <c r="A289" s="13">
        <v>289</v>
      </c>
      <c r="B289" s="193" t="s">
        <v>796</v>
      </c>
      <c r="C289" s="193" t="s">
        <v>797</v>
      </c>
      <c r="D289" s="193" t="s">
        <v>798</v>
      </c>
      <c r="E289" s="193" t="s">
        <v>799</v>
      </c>
      <c r="F289" s="222">
        <f t="shared" si="40"/>
        <v>13</v>
      </c>
      <c r="G289" s="223" t="str">
        <f t="shared" si="41"/>
        <v>12</v>
      </c>
      <c r="H289" s="224">
        <f t="shared" si="42"/>
        <v>12</v>
      </c>
      <c r="I289" s="223" t="str">
        <f t="shared" si="43"/>
        <v>10 min.</v>
      </c>
      <c r="J289" s="223" t="str">
        <f t="shared" si="44"/>
        <v>10</v>
      </c>
      <c r="K289" s="224">
        <f t="shared" si="45"/>
        <v>10</v>
      </c>
      <c r="L289" s="223" t="str">
        <f t="shared" si="46"/>
        <v>12:10</v>
      </c>
      <c r="M289" s="225">
        <f t="shared" si="47"/>
        <v>0.50694444444444442</v>
      </c>
      <c r="N289" s="194" t="s">
        <v>800</v>
      </c>
      <c r="O289" s="193" t="s">
        <v>360</v>
      </c>
      <c r="P289" s="194" t="s">
        <v>275</v>
      </c>
      <c r="Q289" s="194" t="s">
        <v>276</v>
      </c>
    </row>
    <row r="290" spans="1:17" s="195" customFormat="1">
      <c r="A290" s="13">
        <v>290</v>
      </c>
      <c r="B290" s="193" t="s">
        <v>801</v>
      </c>
      <c r="C290" s="193" t="s">
        <v>802</v>
      </c>
      <c r="D290" s="193" t="s">
        <v>803</v>
      </c>
      <c r="E290" s="193" t="s">
        <v>804</v>
      </c>
      <c r="F290" s="222">
        <f t="shared" si="40"/>
        <v>13</v>
      </c>
      <c r="G290" s="223" t="str">
        <f t="shared" si="41"/>
        <v>11</v>
      </c>
      <c r="H290" s="224">
        <f t="shared" si="42"/>
        <v>11</v>
      </c>
      <c r="I290" s="223" t="str">
        <f t="shared" si="43"/>
        <v>40 min.</v>
      </c>
      <c r="J290" s="223" t="str">
        <f t="shared" si="44"/>
        <v>40</v>
      </c>
      <c r="K290" s="224">
        <f t="shared" si="45"/>
        <v>40</v>
      </c>
      <c r="L290" s="223" t="str">
        <f t="shared" si="46"/>
        <v>11:40</v>
      </c>
      <c r="M290" s="225">
        <f t="shared" si="47"/>
        <v>0.4861111111111111</v>
      </c>
      <c r="N290" s="194" t="s">
        <v>805</v>
      </c>
      <c r="O290" s="193" t="s">
        <v>274</v>
      </c>
      <c r="P290" s="194" t="s">
        <v>275</v>
      </c>
      <c r="Q290" s="194" t="s">
        <v>276</v>
      </c>
    </row>
    <row r="291" spans="1:17" s="195" customFormat="1">
      <c r="A291" s="13">
        <v>291</v>
      </c>
      <c r="B291" s="193" t="s">
        <v>806</v>
      </c>
      <c r="C291" s="193" t="s">
        <v>807</v>
      </c>
      <c r="D291" s="193" t="s">
        <v>808</v>
      </c>
      <c r="E291" s="193" t="s">
        <v>809</v>
      </c>
      <c r="F291" s="222">
        <f t="shared" si="40"/>
        <v>12</v>
      </c>
      <c r="G291" s="223" t="str">
        <f t="shared" si="41"/>
        <v>2</v>
      </c>
      <c r="H291" s="224">
        <f t="shared" si="42"/>
        <v>2</v>
      </c>
      <c r="I291" s="223" t="str">
        <f t="shared" si="43"/>
        <v>11 min.</v>
      </c>
      <c r="J291" s="223" t="str">
        <f t="shared" si="44"/>
        <v>11</v>
      </c>
      <c r="K291" s="224">
        <f t="shared" si="45"/>
        <v>11</v>
      </c>
      <c r="L291" s="223" t="str">
        <f t="shared" si="46"/>
        <v>2:11</v>
      </c>
      <c r="M291" s="225">
        <f t="shared" si="47"/>
        <v>9.0972222222222218E-2</v>
      </c>
      <c r="N291" s="194" t="s">
        <v>810</v>
      </c>
      <c r="O291" s="193" t="s">
        <v>811</v>
      </c>
      <c r="P291" s="194" t="s">
        <v>275</v>
      </c>
      <c r="Q291" s="194" t="s">
        <v>276</v>
      </c>
    </row>
    <row r="292" spans="1:17" s="195" customFormat="1">
      <c r="A292" s="13">
        <v>292</v>
      </c>
      <c r="B292" s="193" t="s">
        <v>817</v>
      </c>
      <c r="C292" s="193" t="s">
        <v>714</v>
      </c>
      <c r="D292" s="193" t="s">
        <v>818</v>
      </c>
      <c r="E292" s="193" t="s">
        <v>819</v>
      </c>
      <c r="F292" s="222">
        <f t="shared" si="40"/>
        <v>13</v>
      </c>
      <c r="G292" s="223" t="str">
        <f t="shared" si="41"/>
        <v>17</v>
      </c>
      <c r="H292" s="224">
        <f t="shared" si="42"/>
        <v>17</v>
      </c>
      <c r="I292" s="223" t="str">
        <f t="shared" si="43"/>
        <v>50 min.</v>
      </c>
      <c r="J292" s="223" t="str">
        <f t="shared" si="44"/>
        <v>50</v>
      </c>
      <c r="K292" s="224">
        <f t="shared" si="45"/>
        <v>50</v>
      </c>
      <c r="L292" s="223" t="str">
        <f t="shared" si="46"/>
        <v>17:50</v>
      </c>
      <c r="M292" s="225">
        <f t="shared" si="47"/>
        <v>0.74305555555555547</v>
      </c>
      <c r="N292" s="194" t="s">
        <v>280</v>
      </c>
      <c r="O292" s="193" t="s">
        <v>274</v>
      </c>
      <c r="P292" s="194" t="s">
        <v>275</v>
      </c>
      <c r="Q292" s="194" t="s">
        <v>276</v>
      </c>
    </row>
    <row r="293" spans="1:17" s="195" customFormat="1">
      <c r="A293" s="13">
        <v>293</v>
      </c>
      <c r="B293" s="193" t="s">
        <v>820</v>
      </c>
      <c r="C293" s="193" t="s">
        <v>821</v>
      </c>
      <c r="D293" s="193" t="s">
        <v>822</v>
      </c>
      <c r="E293" s="193" t="s">
        <v>823</v>
      </c>
      <c r="F293" s="222">
        <f t="shared" si="40"/>
        <v>13</v>
      </c>
      <c r="G293" s="223" t="str">
        <f t="shared" si="41"/>
        <v>14</v>
      </c>
      <c r="H293" s="224">
        <f t="shared" si="42"/>
        <v>14</v>
      </c>
      <c r="I293" s="223" t="str">
        <f t="shared" si="43"/>
        <v>49 min.</v>
      </c>
      <c r="J293" s="223" t="str">
        <f t="shared" si="44"/>
        <v>49</v>
      </c>
      <c r="K293" s="224">
        <f t="shared" si="45"/>
        <v>49</v>
      </c>
      <c r="L293" s="223" t="str">
        <f t="shared" si="46"/>
        <v>14:49</v>
      </c>
      <c r="M293" s="225">
        <f t="shared" si="47"/>
        <v>0.61736111111111114</v>
      </c>
      <c r="N293" s="194" t="s">
        <v>824</v>
      </c>
      <c r="O293" s="193" t="s">
        <v>274</v>
      </c>
      <c r="P293" s="194" t="s">
        <v>275</v>
      </c>
      <c r="Q293" s="194" t="s">
        <v>276</v>
      </c>
    </row>
    <row r="294" spans="1:17" s="195" customFormat="1">
      <c r="A294" s="13">
        <v>294</v>
      </c>
      <c r="B294" s="193" t="s">
        <v>825</v>
      </c>
      <c r="C294" s="193" t="s">
        <v>826</v>
      </c>
      <c r="D294" s="193" t="s">
        <v>827</v>
      </c>
      <c r="E294" s="193" t="s">
        <v>2582</v>
      </c>
      <c r="F294" s="222">
        <f t="shared" si="40"/>
        <v>13</v>
      </c>
      <c r="G294" s="223" t="str">
        <f t="shared" si="41"/>
        <v>20</v>
      </c>
      <c r="H294" s="224">
        <f t="shared" si="42"/>
        <v>20</v>
      </c>
      <c r="I294" s="223" t="str">
        <f t="shared" si="43"/>
        <v>00 min.</v>
      </c>
      <c r="J294" s="223" t="str">
        <f t="shared" si="44"/>
        <v>00</v>
      </c>
      <c r="K294" s="224">
        <f t="shared" si="45"/>
        <v>0</v>
      </c>
      <c r="L294" s="223" t="str">
        <f t="shared" si="46"/>
        <v>20:0</v>
      </c>
      <c r="M294" s="225">
        <f t="shared" si="47"/>
        <v>0.83333333333333337</v>
      </c>
      <c r="N294" s="194" t="s">
        <v>828</v>
      </c>
      <c r="O294" s="193" t="s">
        <v>829</v>
      </c>
      <c r="P294" s="194" t="s">
        <v>275</v>
      </c>
      <c r="Q294" s="194" t="s">
        <v>276</v>
      </c>
    </row>
    <row r="295" spans="1:17" s="195" customFormat="1">
      <c r="A295" s="13">
        <v>295</v>
      </c>
      <c r="B295" s="193" t="s">
        <v>830</v>
      </c>
      <c r="C295" s="193" t="s">
        <v>831</v>
      </c>
      <c r="D295" s="193" t="s">
        <v>832</v>
      </c>
      <c r="E295" s="193" t="s">
        <v>364</v>
      </c>
      <c r="F295" s="222">
        <f t="shared" si="40"/>
        <v>12</v>
      </c>
      <c r="G295" s="223" t="str">
        <f t="shared" si="41"/>
        <v>4</v>
      </c>
      <c r="H295" s="224">
        <f t="shared" si="42"/>
        <v>4</v>
      </c>
      <c r="I295" s="223" t="str">
        <f t="shared" si="43"/>
        <v>29 min.</v>
      </c>
      <c r="J295" s="223" t="str">
        <f t="shared" si="44"/>
        <v>29</v>
      </c>
      <c r="K295" s="224">
        <f t="shared" si="45"/>
        <v>29</v>
      </c>
      <c r="L295" s="223" t="str">
        <f t="shared" si="46"/>
        <v>4:29</v>
      </c>
      <c r="M295" s="225">
        <f t="shared" si="47"/>
        <v>0.18680555555555556</v>
      </c>
      <c r="N295" s="194" t="s">
        <v>285</v>
      </c>
      <c r="O295" s="193" t="s">
        <v>413</v>
      </c>
      <c r="P295" s="194" t="s">
        <v>275</v>
      </c>
      <c r="Q295" s="194" t="s">
        <v>276</v>
      </c>
    </row>
    <row r="296" spans="1:17" s="195" customFormat="1">
      <c r="A296" s="13">
        <v>296</v>
      </c>
      <c r="B296" s="193" t="s">
        <v>833</v>
      </c>
      <c r="C296" s="193" t="s">
        <v>834</v>
      </c>
      <c r="D296" s="193" t="s">
        <v>835</v>
      </c>
      <c r="E296" s="193" t="s">
        <v>836</v>
      </c>
      <c r="F296" s="222">
        <f t="shared" si="40"/>
        <v>12</v>
      </c>
      <c r="G296" s="223" t="str">
        <f t="shared" si="41"/>
        <v>2</v>
      </c>
      <c r="H296" s="224">
        <f t="shared" si="42"/>
        <v>2</v>
      </c>
      <c r="I296" s="223" t="str">
        <f t="shared" si="43"/>
        <v>31 min.</v>
      </c>
      <c r="J296" s="223" t="str">
        <f t="shared" si="44"/>
        <v>31</v>
      </c>
      <c r="K296" s="224">
        <f t="shared" si="45"/>
        <v>31</v>
      </c>
      <c r="L296" s="223" t="str">
        <f t="shared" si="46"/>
        <v>2:31</v>
      </c>
      <c r="M296" s="225">
        <f t="shared" si="47"/>
        <v>0.10486111111111111</v>
      </c>
      <c r="N296" s="194" t="s">
        <v>837</v>
      </c>
      <c r="O296" s="193" t="s">
        <v>811</v>
      </c>
      <c r="P296" s="194" t="s">
        <v>275</v>
      </c>
      <c r="Q296" s="194" t="s">
        <v>276</v>
      </c>
    </row>
    <row r="297" spans="1:17" s="195" customFormat="1">
      <c r="A297" s="13">
        <v>297</v>
      </c>
      <c r="B297" s="193" t="s">
        <v>838</v>
      </c>
      <c r="C297" s="193" t="s">
        <v>839</v>
      </c>
      <c r="D297" s="193" t="s">
        <v>840</v>
      </c>
      <c r="E297" s="193" t="s">
        <v>841</v>
      </c>
      <c r="F297" s="222">
        <f t="shared" si="40"/>
        <v>12</v>
      </c>
      <c r="G297" s="223" t="str">
        <f t="shared" si="41"/>
        <v>1</v>
      </c>
      <c r="H297" s="224">
        <f t="shared" si="42"/>
        <v>1</v>
      </c>
      <c r="I297" s="223" t="str">
        <f t="shared" si="43"/>
        <v>10 min.</v>
      </c>
      <c r="J297" s="223" t="str">
        <f t="shared" si="44"/>
        <v>10</v>
      </c>
      <c r="K297" s="224">
        <f t="shared" si="45"/>
        <v>10</v>
      </c>
      <c r="L297" s="223" t="str">
        <f t="shared" si="46"/>
        <v>1:10</v>
      </c>
      <c r="M297" s="225">
        <f t="shared" si="47"/>
        <v>4.8611111111111112E-2</v>
      </c>
      <c r="N297" s="194" t="s">
        <v>842</v>
      </c>
      <c r="O297" s="193" t="s">
        <v>843</v>
      </c>
      <c r="P297" s="194" t="s">
        <v>275</v>
      </c>
      <c r="Q297" s="194" t="s">
        <v>276</v>
      </c>
    </row>
    <row r="298" spans="1:17" s="195" customFormat="1">
      <c r="A298" s="13">
        <v>298</v>
      </c>
      <c r="B298" s="193" t="s">
        <v>849</v>
      </c>
      <c r="C298" s="193" t="s">
        <v>850</v>
      </c>
      <c r="D298" s="193" t="s">
        <v>851</v>
      </c>
      <c r="E298" s="193" t="s">
        <v>852</v>
      </c>
      <c r="F298" s="222">
        <f t="shared" si="40"/>
        <v>12</v>
      </c>
      <c r="G298" s="223" t="str">
        <f t="shared" si="41"/>
        <v>7</v>
      </c>
      <c r="H298" s="224">
        <f t="shared" si="42"/>
        <v>7</v>
      </c>
      <c r="I298" s="223" t="str">
        <f t="shared" si="43"/>
        <v>29 min.</v>
      </c>
      <c r="J298" s="223" t="str">
        <f t="shared" si="44"/>
        <v>29</v>
      </c>
      <c r="K298" s="224">
        <f t="shared" si="45"/>
        <v>29</v>
      </c>
      <c r="L298" s="223" t="str">
        <f t="shared" si="46"/>
        <v>7:29</v>
      </c>
      <c r="M298" s="225">
        <f t="shared" si="47"/>
        <v>0.31180555555555556</v>
      </c>
      <c r="N298" s="194" t="s">
        <v>853</v>
      </c>
      <c r="O298" s="193" t="s">
        <v>811</v>
      </c>
      <c r="P298" s="194" t="s">
        <v>275</v>
      </c>
      <c r="Q298" s="194" t="s">
        <v>276</v>
      </c>
    </row>
    <row r="299" spans="1:17" s="195" customFormat="1">
      <c r="A299" s="13">
        <v>299</v>
      </c>
      <c r="B299" s="193" t="s">
        <v>854</v>
      </c>
      <c r="C299" s="193" t="s">
        <v>855</v>
      </c>
      <c r="D299" s="193" t="s">
        <v>856</v>
      </c>
      <c r="E299" s="193" t="s">
        <v>2595</v>
      </c>
      <c r="F299" s="222">
        <f t="shared" si="40"/>
        <v>13</v>
      </c>
      <c r="G299" s="223" t="str">
        <f t="shared" si="41"/>
        <v>00</v>
      </c>
      <c r="H299" s="224">
        <f t="shared" si="42"/>
        <v>0</v>
      </c>
      <c r="I299" s="223" t="str">
        <f t="shared" si="43"/>
        <v>43 min.</v>
      </c>
      <c r="J299" s="223" t="str">
        <f t="shared" si="44"/>
        <v>43</v>
      </c>
      <c r="K299" s="224">
        <f t="shared" si="45"/>
        <v>43</v>
      </c>
      <c r="L299" s="223" t="str">
        <f t="shared" si="46"/>
        <v>0:43</v>
      </c>
      <c r="M299" s="225">
        <f t="shared" si="47"/>
        <v>2.9861111111111113E-2</v>
      </c>
      <c r="N299" s="194" t="s">
        <v>857</v>
      </c>
      <c r="O299" s="193" t="s">
        <v>843</v>
      </c>
      <c r="P299" s="194" t="s">
        <v>275</v>
      </c>
      <c r="Q299" s="194" t="s">
        <v>276</v>
      </c>
    </row>
    <row r="300" spans="1:17" s="195" customFormat="1">
      <c r="A300" s="13">
        <v>300</v>
      </c>
      <c r="B300" s="193" t="s">
        <v>858</v>
      </c>
      <c r="C300" s="193" t="s">
        <v>859</v>
      </c>
      <c r="D300" s="193" t="s">
        <v>860</v>
      </c>
      <c r="E300" s="193" t="s">
        <v>861</v>
      </c>
      <c r="F300" s="222">
        <f t="shared" si="40"/>
        <v>13</v>
      </c>
      <c r="G300" s="223" t="str">
        <f t="shared" si="41"/>
        <v>12</v>
      </c>
      <c r="H300" s="224">
        <f t="shared" si="42"/>
        <v>12</v>
      </c>
      <c r="I300" s="223" t="str">
        <f t="shared" si="43"/>
        <v>27 min.</v>
      </c>
      <c r="J300" s="223" t="str">
        <f t="shared" si="44"/>
        <v>27</v>
      </c>
      <c r="K300" s="224">
        <f t="shared" si="45"/>
        <v>27</v>
      </c>
      <c r="L300" s="223" t="str">
        <f t="shared" si="46"/>
        <v>12:27</v>
      </c>
      <c r="M300" s="225">
        <f t="shared" si="47"/>
        <v>0.51874999999999993</v>
      </c>
      <c r="N300" s="194" t="s">
        <v>862</v>
      </c>
      <c r="O300" s="193" t="s">
        <v>274</v>
      </c>
      <c r="P300" s="194" t="s">
        <v>275</v>
      </c>
      <c r="Q300" s="194" t="s">
        <v>276</v>
      </c>
    </row>
    <row r="301" spans="1:17" s="195" customFormat="1">
      <c r="A301" s="13">
        <v>301</v>
      </c>
      <c r="B301" s="193" t="s">
        <v>863</v>
      </c>
      <c r="C301" s="193" t="s">
        <v>864</v>
      </c>
      <c r="D301" s="193" t="s">
        <v>865</v>
      </c>
      <c r="E301" s="193" t="s">
        <v>2583</v>
      </c>
      <c r="F301" s="222">
        <f t="shared" ref="F301:F332" si="48">LEN(E301)</f>
        <v>13</v>
      </c>
      <c r="G301" s="223" t="str">
        <f t="shared" ref="G301:G332" si="49">IF(F301=12,LEFT(E301,1),LEFT(E301,2))</f>
        <v>10</v>
      </c>
      <c r="H301" s="224">
        <f t="shared" ref="H301:H332" si="50">VALUE(G301)</f>
        <v>10</v>
      </c>
      <c r="I301" s="223" t="str">
        <f t="shared" ref="I301:I332" si="51">RIGHT(E301,7)</f>
        <v>00 min.</v>
      </c>
      <c r="J301" s="223" t="str">
        <f t="shared" ref="J301:J332" si="52">LEFT(I301,2)</f>
        <v>00</v>
      </c>
      <c r="K301" s="224">
        <f t="shared" ref="K301:K332" si="53">VALUE(J301)</f>
        <v>0</v>
      </c>
      <c r="L301" s="223" t="str">
        <f t="shared" ref="L301:L332" si="54">H301&amp;":"&amp;K301</f>
        <v>10:0</v>
      </c>
      <c r="M301" s="225">
        <f t="shared" ref="M301:M332" si="55">VALUE(L301)</f>
        <v>0.41666666666666669</v>
      </c>
      <c r="N301" s="194" t="s">
        <v>866</v>
      </c>
      <c r="O301" s="193" t="s">
        <v>829</v>
      </c>
      <c r="P301" s="194" t="s">
        <v>275</v>
      </c>
      <c r="Q301" s="194" t="s">
        <v>276</v>
      </c>
    </row>
    <row r="302" spans="1:17" s="195" customFormat="1">
      <c r="A302" s="13">
        <v>302</v>
      </c>
      <c r="B302" s="193" t="s">
        <v>867</v>
      </c>
      <c r="C302" s="193" t="s">
        <v>868</v>
      </c>
      <c r="D302" s="193" t="s">
        <v>869</v>
      </c>
      <c r="E302" s="193" t="s">
        <v>870</v>
      </c>
      <c r="F302" s="222">
        <f t="shared" si="48"/>
        <v>13</v>
      </c>
      <c r="G302" s="223" t="str">
        <f t="shared" si="49"/>
        <v>16</v>
      </c>
      <c r="H302" s="224">
        <f t="shared" si="50"/>
        <v>16</v>
      </c>
      <c r="I302" s="223" t="str">
        <f t="shared" si="51"/>
        <v>37 min.</v>
      </c>
      <c r="J302" s="223" t="str">
        <f t="shared" si="52"/>
        <v>37</v>
      </c>
      <c r="K302" s="224">
        <f t="shared" si="53"/>
        <v>37</v>
      </c>
      <c r="L302" s="223" t="str">
        <f t="shared" si="54"/>
        <v>16:37</v>
      </c>
      <c r="M302" s="225">
        <f t="shared" si="55"/>
        <v>0.69236111111111109</v>
      </c>
      <c r="N302" s="194" t="s">
        <v>871</v>
      </c>
      <c r="O302" s="193" t="s">
        <v>274</v>
      </c>
      <c r="P302" s="194" t="s">
        <v>275</v>
      </c>
      <c r="Q302" s="194" t="s">
        <v>276</v>
      </c>
    </row>
    <row r="303" spans="1:17" s="195" customFormat="1">
      <c r="A303" s="13">
        <v>303</v>
      </c>
      <c r="B303" s="193" t="s">
        <v>910</v>
      </c>
      <c r="C303" s="193" t="s">
        <v>911</v>
      </c>
      <c r="D303" s="193" t="s">
        <v>912</v>
      </c>
      <c r="E303" s="193" t="s">
        <v>913</v>
      </c>
      <c r="F303" s="222">
        <f t="shared" si="48"/>
        <v>12</v>
      </c>
      <c r="G303" s="223" t="str">
        <f t="shared" si="49"/>
        <v>1</v>
      </c>
      <c r="H303" s="224">
        <f t="shared" si="50"/>
        <v>1</v>
      </c>
      <c r="I303" s="223" t="str">
        <f t="shared" si="51"/>
        <v>49 min.</v>
      </c>
      <c r="J303" s="223" t="str">
        <f t="shared" si="52"/>
        <v>49</v>
      </c>
      <c r="K303" s="224">
        <f t="shared" si="53"/>
        <v>49</v>
      </c>
      <c r="L303" s="223" t="str">
        <f t="shared" si="54"/>
        <v>1:49</v>
      </c>
      <c r="M303" s="225">
        <f t="shared" si="55"/>
        <v>7.5694444444444439E-2</v>
      </c>
      <c r="N303" s="194" t="s">
        <v>914</v>
      </c>
      <c r="O303" s="193" t="s">
        <v>761</v>
      </c>
      <c r="P303" s="194" t="s">
        <v>275</v>
      </c>
      <c r="Q303" s="194" t="s">
        <v>276</v>
      </c>
    </row>
    <row r="304" spans="1:17" s="195" customFormat="1">
      <c r="A304" s="13">
        <v>304</v>
      </c>
      <c r="B304" s="193" t="s">
        <v>1328</v>
      </c>
      <c r="C304" s="193" t="s">
        <v>672</v>
      </c>
      <c r="D304" s="193" t="s">
        <v>1329</v>
      </c>
      <c r="E304" s="193" t="s">
        <v>740</v>
      </c>
      <c r="F304" s="222">
        <f t="shared" si="48"/>
        <v>12</v>
      </c>
      <c r="G304" s="223" t="str">
        <f t="shared" si="49"/>
        <v>7</v>
      </c>
      <c r="H304" s="224">
        <f t="shared" si="50"/>
        <v>7</v>
      </c>
      <c r="I304" s="223" t="str">
        <f t="shared" si="51"/>
        <v>41 min.</v>
      </c>
      <c r="J304" s="223" t="str">
        <f t="shared" si="52"/>
        <v>41</v>
      </c>
      <c r="K304" s="224">
        <f t="shared" si="53"/>
        <v>41</v>
      </c>
      <c r="L304" s="223" t="str">
        <f t="shared" si="54"/>
        <v>7:41</v>
      </c>
      <c r="M304" s="225">
        <f t="shared" si="55"/>
        <v>0.32013888888888892</v>
      </c>
      <c r="N304" s="194" t="s">
        <v>1330</v>
      </c>
      <c r="O304" s="193" t="s">
        <v>303</v>
      </c>
      <c r="P304" s="194" t="s">
        <v>275</v>
      </c>
      <c r="Q304" s="194" t="s">
        <v>276</v>
      </c>
    </row>
    <row r="305" spans="1:17" s="195" customFormat="1">
      <c r="A305" s="13">
        <v>305</v>
      </c>
      <c r="B305" s="193" t="s">
        <v>1331</v>
      </c>
      <c r="C305" s="193" t="s">
        <v>1332</v>
      </c>
      <c r="D305" s="193" t="s">
        <v>1333</v>
      </c>
      <c r="E305" s="193" t="s">
        <v>2596</v>
      </c>
      <c r="F305" s="222">
        <f t="shared" si="48"/>
        <v>13</v>
      </c>
      <c r="G305" s="223" t="str">
        <f t="shared" si="49"/>
        <v>00</v>
      </c>
      <c r="H305" s="224">
        <f t="shared" si="50"/>
        <v>0</v>
      </c>
      <c r="I305" s="223" t="str">
        <f t="shared" si="51"/>
        <v>14 min.</v>
      </c>
      <c r="J305" s="223" t="str">
        <f t="shared" si="52"/>
        <v>14</v>
      </c>
      <c r="K305" s="224">
        <f t="shared" si="53"/>
        <v>14</v>
      </c>
      <c r="L305" s="223" t="str">
        <f t="shared" si="54"/>
        <v>0:14</v>
      </c>
      <c r="M305" s="225">
        <f t="shared" si="55"/>
        <v>9.7222222222222224E-3</v>
      </c>
      <c r="N305" s="194" t="s">
        <v>1334</v>
      </c>
      <c r="O305" s="193" t="s">
        <v>343</v>
      </c>
      <c r="P305" s="194" t="s">
        <v>275</v>
      </c>
      <c r="Q305" s="194" t="s">
        <v>276</v>
      </c>
    </row>
    <row r="306" spans="1:17" s="195" customFormat="1">
      <c r="A306" s="13">
        <v>306</v>
      </c>
      <c r="B306" s="193" t="s">
        <v>1335</v>
      </c>
      <c r="C306" s="193" t="s">
        <v>1336</v>
      </c>
      <c r="D306" s="193" t="s">
        <v>1337</v>
      </c>
      <c r="E306" s="193" t="s">
        <v>2597</v>
      </c>
      <c r="F306" s="222">
        <f t="shared" si="48"/>
        <v>13</v>
      </c>
      <c r="G306" s="223" t="str">
        <f t="shared" si="49"/>
        <v>00</v>
      </c>
      <c r="H306" s="224">
        <f t="shared" si="50"/>
        <v>0</v>
      </c>
      <c r="I306" s="223" t="str">
        <f t="shared" si="51"/>
        <v>41 min.</v>
      </c>
      <c r="J306" s="223" t="str">
        <f t="shared" si="52"/>
        <v>41</v>
      </c>
      <c r="K306" s="224">
        <f t="shared" si="53"/>
        <v>41</v>
      </c>
      <c r="L306" s="223" t="str">
        <f t="shared" si="54"/>
        <v>0:41</v>
      </c>
      <c r="M306" s="225">
        <f t="shared" si="55"/>
        <v>2.8472222222222222E-2</v>
      </c>
      <c r="N306" s="194" t="s">
        <v>1338</v>
      </c>
      <c r="O306" s="193" t="s">
        <v>343</v>
      </c>
      <c r="P306" s="194" t="s">
        <v>275</v>
      </c>
      <c r="Q306" s="194" t="s">
        <v>276</v>
      </c>
    </row>
    <row r="307" spans="1:17" s="195" customFormat="1">
      <c r="A307" s="13">
        <v>307</v>
      </c>
      <c r="B307" s="193" t="s">
        <v>1343</v>
      </c>
      <c r="C307" s="193" t="s">
        <v>1344</v>
      </c>
      <c r="D307" s="193" t="s">
        <v>1345</v>
      </c>
      <c r="E307" s="193" t="s">
        <v>1346</v>
      </c>
      <c r="F307" s="222">
        <f t="shared" si="48"/>
        <v>12</v>
      </c>
      <c r="G307" s="223" t="str">
        <f t="shared" si="49"/>
        <v>4</v>
      </c>
      <c r="H307" s="224">
        <f t="shared" si="50"/>
        <v>4</v>
      </c>
      <c r="I307" s="223" t="str">
        <f t="shared" si="51"/>
        <v>15 min.</v>
      </c>
      <c r="J307" s="223" t="str">
        <f t="shared" si="52"/>
        <v>15</v>
      </c>
      <c r="K307" s="224">
        <f t="shared" si="53"/>
        <v>15</v>
      </c>
      <c r="L307" s="223" t="str">
        <f t="shared" si="54"/>
        <v>4:15</v>
      </c>
      <c r="M307" s="225">
        <f t="shared" si="55"/>
        <v>0.17708333333333334</v>
      </c>
      <c r="N307" s="194" t="s">
        <v>1347</v>
      </c>
      <c r="O307" s="193" t="s">
        <v>303</v>
      </c>
      <c r="P307" s="194" t="s">
        <v>275</v>
      </c>
      <c r="Q307" s="194" t="s">
        <v>276</v>
      </c>
    </row>
    <row r="308" spans="1:17" s="195" customFormat="1">
      <c r="A308" s="13">
        <v>308</v>
      </c>
      <c r="B308" s="193" t="s">
        <v>1348</v>
      </c>
      <c r="C308" s="193" t="s">
        <v>1349</v>
      </c>
      <c r="D308" s="193" t="s">
        <v>1350</v>
      </c>
      <c r="E308" s="193" t="s">
        <v>1351</v>
      </c>
      <c r="F308" s="222">
        <f t="shared" si="48"/>
        <v>12</v>
      </c>
      <c r="G308" s="223" t="str">
        <f t="shared" si="49"/>
        <v>9</v>
      </c>
      <c r="H308" s="224">
        <f t="shared" si="50"/>
        <v>9</v>
      </c>
      <c r="I308" s="223" t="str">
        <f t="shared" si="51"/>
        <v>28 min.</v>
      </c>
      <c r="J308" s="223" t="str">
        <f t="shared" si="52"/>
        <v>28</v>
      </c>
      <c r="K308" s="224">
        <f t="shared" si="53"/>
        <v>28</v>
      </c>
      <c r="L308" s="223" t="str">
        <f t="shared" si="54"/>
        <v>9:28</v>
      </c>
      <c r="M308" s="225">
        <f t="shared" si="55"/>
        <v>0.39444444444444443</v>
      </c>
      <c r="N308" s="194" t="s">
        <v>1352</v>
      </c>
      <c r="O308" s="193" t="s">
        <v>303</v>
      </c>
      <c r="P308" s="194" t="s">
        <v>275</v>
      </c>
      <c r="Q308" s="194" t="s">
        <v>276</v>
      </c>
    </row>
    <row r="309" spans="1:17" s="195" customFormat="1">
      <c r="A309" s="13">
        <v>309</v>
      </c>
      <c r="B309" s="193" t="s">
        <v>1353</v>
      </c>
      <c r="C309" s="193" t="s">
        <v>1354</v>
      </c>
      <c r="D309" s="193" t="s">
        <v>1355</v>
      </c>
      <c r="E309" s="193" t="s">
        <v>1356</v>
      </c>
      <c r="F309" s="222">
        <f t="shared" si="48"/>
        <v>13</v>
      </c>
      <c r="G309" s="223" t="str">
        <f t="shared" si="49"/>
        <v>11</v>
      </c>
      <c r="H309" s="224">
        <f t="shared" si="50"/>
        <v>11</v>
      </c>
      <c r="I309" s="223" t="str">
        <f t="shared" si="51"/>
        <v>38 min.</v>
      </c>
      <c r="J309" s="223" t="str">
        <f t="shared" si="52"/>
        <v>38</v>
      </c>
      <c r="K309" s="224">
        <f t="shared" si="53"/>
        <v>38</v>
      </c>
      <c r="L309" s="223" t="str">
        <f t="shared" si="54"/>
        <v>11:38</v>
      </c>
      <c r="M309" s="225">
        <f t="shared" si="55"/>
        <v>0.48472222222222222</v>
      </c>
      <c r="N309" s="194" t="s">
        <v>1357</v>
      </c>
      <c r="O309" s="193" t="s">
        <v>274</v>
      </c>
      <c r="P309" s="194" t="s">
        <v>275</v>
      </c>
      <c r="Q309" s="194" t="s">
        <v>276</v>
      </c>
    </row>
    <row r="310" spans="1:17" s="195" customFormat="1">
      <c r="A310" s="13">
        <v>310</v>
      </c>
      <c r="B310" s="193" t="s">
        <v>1358</v>
      </c>
      <c r="C310" s="193" t="s">
        <v>1359</v>
      </c>
      <c r="D310" s="193" t="s">
        <v>1360</v>
      </c>
      <c r="E310" s="193" t="s">
        <v>697</v>
      </c>
      <c r="F310" s="222">
        <f t="shared" si="48"/>
        <v>12</v>
      </c>
      <c r="G310" s="223" t="str">
        <f t="shared" si="49"/>
        <v>9</v>
      </c>
      <c r="H310" s="224">
        <f t="shared" si="50"/>
        <v>9</v>
      </c>
      <c r="I310" s="223" t="str">
        <f t="shared" si="51"/>
        <v>58 min.</v>
      </c>
      <c r="J310" s="223" t="str">
        <f t="shared" si="52"/>
        <v>58</v>
      </c>
      <c r="K310" s="224">
        <f t="shared" si="53"/>
        <v>58</v>
      </c>
      <c r="L310" s="223" t="str">
        <f t="shared" si="54"/>
        <v>9:58</v>
      </c>
      <c r="M310" s="225">
        <f t="shared" si="55"/>
        <v>0.4152777777777778</v>
      </c>
      <c r="N310" s="194" t="s">
        <v>1361</v>
      </c>
      <c r="O310" s="193" t="s">
        <v>303</v>
      </c>
      <c r="P310" s="194" t="s">
        <v>275</v>
      </c>
      <c r="Q310" s="194" t="s">
        <v>276</v>
      </c>
    </row>
    <row r="311" spans="1:17" s="195" customFormat="1">
      <c r="A311" s="13">
        <v>311</v>
      </c>
      <c r="B311" s="193" t="s">
        <v>1362</v>
      </c>
      <c r="C311" s="193" t="s">
        <v>1363</v>
      </c>
      <c r="D311" s="193" t="s">
        <v>1364</v>
      </c>
      <c r="E311" s="193" t="s">
        <v>1365</v>
      </c>
      <c r="F311" s="222">
        <f t="shared" si="48"/>
        <v>12</v>
      </c>
      <c r="G311" s="223" t="str">
        <f t="shared" si="49"/>
        <v>3</v>
      </c>
      <c r="H311" s="224">
        <f t="shared" si="50"/>
        <v>3</v>
      </c>
      <c r="I311" s="223" t="str">
        <f t="shared" si="51"/>
        <v>05 min.</v>
      </c>
      <c r="J311" s="223" t="str">
        <f t="shared" si="52"/>
        <v>05</v>
      </c>
      <c r="K311" s="224">
        <f t="shared" si="53"/>
        <v>5</v>
      </c>
      <c r="L311" s="223" t="str">
        <f t="shared" si="54"/>
        <v>3:5</v>
      </c>
      <c r="M311" s="225">
        <f t="shared" si="55"/>
        <v>0.12847222222222224</v>
      </c>
      <c r="N311" s="194" t="s">
        <v>1366</v>
      </c>
      <c r="O311" s="193" t="s">
        <v>439</v>
      </c>
      <c r="P311" s="194" t="s">
        <v>275</v>
      </c>
      <c r="Q311" s="194" t="s">
        <v>276</v>
      </c>
    </row>
    <row r="312" spans="1:17" s="195" customFormat="1">
      <c r="A312" s="13">
        <v>312</v>
      </c>
      <c r="B312" s="193" t="s">
        <v>1367</v>
      </c>
      <c r="C312" s="193" t="s">
        <v>821</v>
      </c>
      <c r="D312" s="193" t="s">
        <v>1368</v>
      </c>
      <c r="E312" s="193" t="s">
        <v>457</v>
      </c>
      <c r="F312" s="222">
        <f t="shared" si="48"/>
        <v>12</v>
      </c>
      <c r="G312" s="223" t="str">
        <f t="shared" si="49"/>
        <v>9</v>
      </c>
      <c r="H312" s="224">
        <f t="shared" si="50"/>
        <v>9</v>
      </c>
      <c r="I312" s="223" t="str">
        <f t="shared" si="51"/>
        <v>02 min.</v>
      </c>
      <c r="J312" s="223" t="str">
        <f t="shared" si="52"/>
        <v>02</v>
      </c>
      <c r="K312" s="224">
        <f t="shared" si="53"/>
        <v>2</v>
      </c>
      <c r="L312" s="223" t="str">
        <f t="shared" si="54"/>
        <v>9:2</v>
      </c>
      <c r="M312" s="225">
        <f t="shared" si="55"/>
        <v>0.37638888888888888</v>
      </c>
      <c r="N312" s="194" t="s">
        <v>1369</v>
      </c>
      <c r="O312" s="193" t="s">
        <v>274</v>
      </c>
      <c r="P312" s="194" t="s">
        <v>275</v>
      </c>
      <c r="Q312" s="194" t="s">
        <v>276</v>
      </c>
    </row>
    <row r="313" spans="1:17" s="195" customFormat="1">
      <c r="A313" s="13">
        <v>313</v>
      </c>
      <c r="B313" s="193" t="s">
        <v>1374</v>
      </c>
      <c r="C313" s="193" t="s">
        <v>1375</v>
      </c>
      <c r="D313" s="193" t="s">
        <v>1376</v>
      </c>
      <c r="E313" s="193" t="s">
        <v>1377</v>
      </c>
      <c r="F313" s="222">
        <f t="shared" si="48"/>
        <v>12</v>
      </c>
      <c r="G313" s="223" t="str">
        <f t="shared" si="49"/>
        <v>6</v>
      </c>
      <c r="H313" s="224">
        <f t="shared" si="50"/>
        <v>6</v>
      </c>
      <c r="I313" s="223" t="str">
        <f t="shared" si="51"/>
        <v>28 min.</v>
      </c>
      <c r="J313" s="223" t="str">
        <f t="shared" si="52"/>
        <v>28</v>
      </c>
      <c r="K313" s="224">
        <f t="shared" si="53"/>
        <v>28</v>
      </c>
      <c r="L313" s="223" t="str">
        <f t="shared" si="54"/>
        <v>6:28</v>
      </c>
      <c r="M313" s="225">
        <f t="shared" si="55"/>
        <v>0.26944444444444443</v>
      </c>
      <c r="N313" s="194" t="s">
        <v>1378</v>
      </c>
      <c r="O313" s="193" t="s">
        <v>303</v>
      </c>
      <c r="P313" s="194" t="s">
        <v>275</v>
      </c>
      <c r="Q313" s="194" t="s">
        <v>276</v>
      </c>
    </row>
    <row r="314" spans="1:17" s="195" customFormat="1">
      <c r="A314" s="13">
        <v>314</v>
      </c>
      <c r="B314" s="193" t="s">
        <v>1379</v>
      </c>
      <c r="C314" s="193" t="s">
        <v>1380</v>
      </c>
      <c r="D314" s="193" t="s">
        <v>1381</v>
      </c>
      <c r="E314" s="193" t="s">
        <v>1382</v>
      </c>
      <c r="F314" s="222">
        <f t="shared" si="48"/>
        <v>12</v>
      </c>
      <c r="G314" s="223" t="str">
        <f t="shared" si="49"/>
        <v>2</v>
      </c>
      <c r="H314" s="224">
        <f t="shared" si="50"/>
        <v>2</v>
      </c>
      <c r="I314" s="223" t="str">
        <f t="shared" si="51"/>
        <v>18 min.</v>
      </c>
      <c r="J314" s="223" t="str">
        <f t="shared" si="52"/>
        <v>18</v>
      </c>
      <c r="K314" s="224">
        <f t="shared" si="53"/>
        <v>18</v>
      </c>
      <c r="L314" s="223" t="str">
        <f t="shared" si="54"/>
        <v>2:18</v>
      </c>
      <c r="M314" s="225">
        <f t="shared" si="55"/>
        <v>9.5833333333333326E-2</v>
      </c>
      <c r="N314" s="194" t="s">
        <v>1383</v>
      </c>
      <c r="O314" s="193" t="s">
        <v>303</v>
      </c>
      <c r="P314" s="194" t="s">
        <v>275</v>
      </c>
      <c r="Q314" s="194" t="s">
        <v>276</v>
      </c>
    </row>
    <row r="315" spans="1:17" s="195" customFormat="1">
      <c r="A315" s="13">
        <v>315</v>
      </c>
      <c r="B315" s="193" t="s">
        <v>1384</v>
      </c>
      <c r="C315" s="193" t="s">
        <v>859</v>
      </c>
      <c r="D315" s="193" t="s">
        <v>1385</v>
      </c>
      <c r="E315" s="193" t="s">
        <v>1090</v>
      </c>
      <c r="F315" s="222">
        <f t="shared" si="48"/>
        <v>13</v>
      </c>
      <c r="G315" s="223" t="str">
        <f t="shared" si="49"/>
        <v>11</v>
      </c>
      <c r="H315" s="224">
        <f t="shared" si="50"/>
        <v>11</v>
      </c>
      <c r="I315" s="223" t="str">
        <f t="shared" si="51"/>
        <v>43 min.</v>
      </c>
      <c r="J315" s="223" t="str">
        <f t="shared" si="52"/>
        <v>43</v>
      </c>
      <c r="K315" s="224">
        <f t="shared" si="53"/>
        <v>43</v>
      </c>
      <c r="L315" s="223" t="str">
        <f t="shared" si="54"/>
        <v>11:43</v>
      </c>
      <c r="M315" s="225">
        <f t="shared" si="55"/>
        <v>0.48819444444444443</v>
      </c>
      <c r="N315" s="194" t="s">
        <v>1386</v>
      </c>
      <c r="O315" s="193" t="s">
        <v>274</v>
      </c>
      <c r="P315" s="194" t="s">
        <v>275</v>
      </c>
      <c r="Q315" s="194" t="s">
        <v>276</v>
      </c>
    </row>
    <row r="316" spans="1:17" s="195" customFormat="1">
      <c r="A316" s="13">
        <v>316</v>
      </c>
      <c r="B316" s="193" t="s">
        <v>1387</v>
      </c>
      <c r="C316" s="193" t="s">
        <v>1388</v>
      </c>
      <c r="D316" s="193" t="s">
        <v>1389</v>
      </c>
      <c r="E316" s="193" t="s">
        <v>1390</v>
      </c>
      <c r="F316" s="222">
        <f t="shared" si="48"/>
        <v>12</v>
      </c>
      <c r="G316" s="223" t="str">
        <f t="shared" si="49"/>
        <v>8</v>
      </c>
      <c r="H316" s="224">
        <f t="shared" si="50"/>
        <v>8</v>
      </c>
      <c r="I316" s="223" t="str">
        <f t="shared" si="51"/>
        <v>15 min.</v>
      </c>
      <c r="J316" s="223" t="str">
        <f t="shared" si="52"/>
        <v>15</v>
      </c>
      <c r="K316" s="224">
        <f t="shared" si="53"/>
        <v>15</v>
      </c>
      <c r="L316" s="223" t="str">
        <f t="shared" si="54"/>
        <v>8:15</v>
      </c>
      <c r="M316" s="225">
        <f t="shared" si="55"/>
        <v>0.34375</v>
      </c>
      <c r="N316" s="194" t="s">
        <v>1391</v>
      </c>
      <c r="O316" s="193" t="s">
        <v>274</v>
      </c>
      <c r="P316" s="194" t="s">
        <v>275</v>
      </c>
      <c r="Q316" s="194" t="s">
        <v>276</v>
      </c>
    </row>
    <row r="317" spans="1:17" s="195" customFormat="1">
      <c r="A317" s="13">
        <v>317</v>
      </c>
      <c r="B317" s="193" t="s">
        <v>1401</v>
      </c>
      <c r="C317" s="193" t="s">
        <v>1402</v>
      </c>
      <c r="D317" s="193" t="s">
        <v>1403</v>
      </c>
      <c r="E317" s="193" t="s">
        <v>1039</v>
      </c>
      <c r="F317" s="222">
        <f t="shared" si="48"/>
        <v>12</v>
      </c>
      <c r="G317" s="223" t="str">
        <f t="shared" si="49"/>
        <v>8</v>
      </c>
      <c r="H317" s="224">
        <f t="shared" si="50"/>
        <v>8</v>
      </c>
      <c r="I317" s="223" t="str">
        <f t="shared" si="51"/>
        <v>35 min.</v>
      </c>
      <c r="J317" s="223" t="str">
        <f t="shared" si="52"/>
        <v>35</v>
      </c>
      <c r="K317" s="224">
        <f t="shared" si="53"/>
        <v>35</v>
      </c>
      <c r="L317" s="223" t="str">
        <f t="shared" si="54"/>
        <v>8:35</v>
      </c>
      <c r="M317" s="225">
        <f t="shared" si="55"/>
        <v>0.3576388888888889</v>
      </c>
      <c r="N317" s="194" t="s">
        <v>1404</v>
      </c>
      <c r="O317" s="193" t="s">
        <v>274</v>
      </c>
      <c r="P317" s="194" t="s">
        <v>275</v>
      </c>
      <c r="Q317" s="194" t="s">
        <v>276</v>
      </c>
    </row>
    <row r="318" spans="1:17" s="195" customFormat="1">
      <c r="A318" s="13">
        <v>318</v>
      </c>
      <c r="B318" s="193" t="s">
        <v>1428</v>
      </c>
      <c r="C318" s="193" t="s">
        <v>1429</v>
      </c>
      <c r="D318" s="193" t="s">
        <v>1430</v>
      </c>
      <c r="E318" s="193" t="s">
        <v>1431</v>
      </c>
      <c r="F318" s="222">
        <f t="shared" si="48"/>
        <v>13</v>
      </c>
      <c r="G318" s="223" t="str">
        <f t="shared" si="49"/>
        <v>13</v>
      </c>
      <c r="H318" s="224">
        <f t="shared" si="50"/>
        <v>13</v>
      </c>
      <c r="I318" s="223" t="str">
        <f t="shared" si="51"/>
        <v>25 min.</v>
      </c>
      <c r="J318" s="223" t="str">
        <f t="shared" si="52"/>
        <v>25</v>
      </c>
      <c r="K318" s="224">
        <f t="shared" si="53"/>
        <v>25</v>
      </c>
      <c r="L318" s="223" t="str">
        <f t="shared" si="54"/>
        <v>13:25</v>
      </c>
      <c r="M318" s="225">
        <f t="shared" si="55"/>
        <v>0.55902777777777779</v>
      </c>
      <c r="N318" s="194" t="s">
        <v>1432</v>
      </c>
      <c r="O318" s="193" t="s">
        <v>303</v>
      </c>
      <c r="P318" s="194" t="s">
        <v>275</v>
      </c>
      <c r="Q318" s="194" t="s">
        <v>276</v>
      </c>
    </row>
    <row r="319" spans="1:17" s="195" customFormat="1">
      <c r="A319" s="13">
        <v>319</v>
      </c>
      <c r="B319" s="193" t="s">
        <v>1441</v>
      </c>
      <c r="C319" s="193" t="s">
        <v>1442</v>
      </c>
      <c r="D319" s="193" t="s">
        <v>1443</v>
      </c>
      <c r="E319" s="193" t="s">
        <v>1444</v>
      </c>
      <c r="F319" s="222">
        <f t="shared" si="48"/>
        <v>12</v>
      </c>
      <c r="G319" s="223" t="str">
        <f t="shared" si="49"/>
        <v>3</v>
      </c>
      <c r="H319" s="224">
        <f t="shared" si="50"/>
        <v>3</v>
      </c>
      <c r="I319" s="223" t="str">
        <f t="shared" si="51"/>
        <v>16 min.</v>
      </c>
      <c r="J319" s="223" t="str">
        <f t="shared" si="52"/>
        <v>16</v>
      </c>
      <c r="K319" s="224">
        <f t="shared" si="53"/>
        <v>16</v>
      </c>
      <c r="L319" s="223" t="str">
        <f t="shared" si="54"/>
        <v>3:16</v>
      </c>
      <c r="M319" s="225">
        <f t="shared" si="55"/>
        <v>0.1361111111111111</v>
      </c>
      <c r="N319" s="194" t="s">
        <v>1445</v>
      </c>
      <c r="O319" s="193" t="s">
        <v>303</v>
      </c>
      <c r="P319" s="194" t="s">
        <v>275</v>
      </c>
      <c r="Q319" s="194" t="s">
        <v>276</v>
      </c>
    </row>
    <row r="320" spans="1:17" s="195" customFormat="1">
      <c r="A320" s="13">
        <v>320</v>
      </c>
      <c r="B320" s="193" t="s">
        <v>1446</v>
      </c>
      <c r="C320" s="193" t="s">
        <v>1447</v>
      </c>
      <c r="D320" s="193" t="s">
        <v>1448</v>
      </c>
      <c r="E320" s="193" t="s">
        <v>331</v>
      </c>
      <c r="F320" s="222">
        <f t="shared" si="48"/>
        <v>13</v>
      </c>
      <c r="G320" s="223" t="str">
        <f t="shared" si="49"/>
        <v>13</v>
      </c>
      <c r="H320" s="224">
        <f t="shared" si="50"/>
        <v>13</v>
      </c>
      <c r="I320" s="223" t="str">
        <f t="shared" si="51"/>
        <v>34 min.</v>
      </c>
      <c r="J320" s="223" t="str">
        <f t="shared" si="52"/>
        <v>34</v>
      </c>
      <c r="K320" s="224">
        <f t="shared" si="53"/>
        <v>34</v>
      </c>
      <c r="L320" s="223" t="str">
        <f t="shared" si="54"/>
        <v>13:34</v>
      </c>
      <c r="M320" s="225">
        <f t="shared" si="55"/>
        <v>0.56527777777777777</v>
      </c>
      <c r="N320" s="194" t="s">
        <v>1449</v>
      </c>
      <c r="O320" s="193" t="s">
        <v>274</v>
      </c>
      <c r="P320" s="194" t="s">
        <v>275</v>
      </c>
      <c r="Q320" s="194" t="s">
        <v>276</v>
      </c>
    </row>
    <row r="321" spans="1:17" s="195" customFormat="1">
      <c r="A321" s="13">
        <v>321</v>
      </c>
      <c r="B321" s="193" t="s">
        <v>1450</v>
      </c>
      <c r="C321" s="193" t="s">
        <v>1388</v>
      </c>
      <c r="D321" s="193" t="s">
        <v>1451</v>
      </c>
      <c r="E321" s="193" t="s">
        <v>1452</v>
      </c>
      <c r="F321" s="222">
        <f t="shared" si="48"/>
        <v>13</v>
      </c>
      <c r="G321" s="223" t="str">
        <f t="shared" si="49"/>
        <v>12</v>
      </c>
      <c r="H321" s="224">
        <f t="shared" si="50"/>
        <v>12</v>
      </c>
      <c r="I321" s="223" t="str">
        <f t="shared" si="51"/>
        <v>32 min.</v>
      </c>
      <c r="J321" s="223" t="str">
        <f t="shared" si="52"/>
        <v>32</v>
      </c>
      <c r="K321" s="224">
        <f t="shared" si="53"/>
        <v>32</v>
      </c>
      <c r="L321" s="223" t="str">
        <f t="shared" si="54"/>
        <v>12:32</v>
      </c>
      <c r="M321" s="225">
        <f t="shared" si="55"/>
        <v>0.52222222222222225</v>
      </c>
      <c r="N321" s="194" t="s">
        <v>1449</v>
      </c>
      <c r="O321" s="193" t="s">
        <v>274</v>
      </c>
      <c r="P321" s="194" t="s">
        <v>275</v>
      </c>
      <c r="Q321" s="194" t="s">
        <v>276</v>
      </c>
    </row>
    <row r="322" spans="1:17" s="195" customFormat="1">
      <c r="A322" s="13">
        <v>322</v>
      </c>
      <c r="B322" s="193" t="s">
        <v>1453</v>
      </c>
      <c r="C322" s="193" t="s">
        <v>1454</v>
      </c>
      <c r="D322" s="193" t="s">
        <v>1455</v>
      </c>
      <c r="E322" s="193" t="s">
        <v>1456</v>
      </c>
      <c r="F322" s="222">
        <f t="shared" si="48"/>
        <v>12</v>
      </c>
      <c r="G322" s="223" t="str">
        <f t="shared" si="49"/>
        <v>7</v>
      </c>
      <c r="H322" s="224">
        <f t="shared" si="50"/>
        <v>7</v>
      </c>
      <c r="I322" s="223" t="str">
        <f t="shared" si="51"/>
        <v>05 min.</v>
      </c>
      <c r="J322" s="223" t="str">
        <f t="shared" si="52"/>
        <v>05</v>
      </c>
      <c r="K322" s="224">
        <f t="shared" si="53"/>
        <v>5</v>
      </c>
      <c r="L322" s="223" t="str">
        <f t="shared" si="54"/>
        <v>7:5</v>
      </c>
      <c r="M322" s="225">
        <f t="shared" si="55"/>
        <v>0.2951388888888889</v>
      </c>
      <c r="N322" s="194" t="s">
        <v>1457</v>
      </c>
      <c r="O322" s="193" t="s">
        <v>303</v>
      </c>
      <c r="P322" s="194" t="s">
        <v>275</v>
      </c>
      <c r="Q322" s="194" t="s">
        <v>276</v>
      </c>
    </row>
    <row r="323" spans="1:17" s="195" customFormat="1">
      <c r="A323" s="13">
        <v>323</v>
      </c>
      <c r="B323" s="193" t="s">
        <v>1515</v>
      </c>
      <c r="C323" s="193" t="s">
        <v>1388</v>
      </c>
      <c r="D323" s="193" t="s">
        <v>1516</v>
      </c>
      <c r="E323" s="193" t="s">
        <v>1005</v>
      </c>
      <c r="F323" s="222">
        <f t="shared" si="48"/>
        <v>12</v>
      </c>
      <c r="G323" s="223" t="str">
        <f t="shared" si="49"/>
        <v>2</v>
      </c>
      <c r="H323" s="224">
        <f t="shared" si="50"/>
        <v>2</v>
      </c>
      <c r="I323" s="223" t="str">
        <f t="shared" si="51"/>
        <v>59 min.</v>
      </c>
      <c r="J323" s="223" t="str">
        <f t="shared" si="52"/>
        <v>59</v>
      </c>
      <c r="K323" s="224">
        <f t="shared" si="53"/>
        <v>59</v>
      </c>
      <c r="L323" s="223" t="str">
        <f t="shared" si="54"/>
        <v>2:59</v>
      </c>
      <c r="M323" s="225">
        <f t="shared" si="55"/>
        <v>0.12430555555555556</v>
      </c>
      <c r="N323" s="194" t="s">
        <v>1391</v>
      </c>
      <c r="O323" s="193" t="s">
        <v>350</v>
      </c>
      <c r="P323" s="194" t="s">
        <v>275</v>
      </c>
      <c r="Q323" s="194" t="s">
        <v>276</v>
      </c>
    </row>
    <row r="324" spans="1:17" s="195" customFormat="1">
      <c r="A324" s="13">
        <v>324</v>
      </c>
      <c r="B324" s="193" t="s">
        <v>1517</v>
      </c>
      <c r="C324" s="193" t="s">
        <v>1518</v>
      </c>
      <c r="D324" s="193" t="s">
        <v>1519</v>
      </c>
      <c r="E324" s="193" t="s">
        <v>319</v>
      </c>
      <c r="F324" s="222">
        <f t="shared" si="48"/>
        <v>12</v>
      </c>
      <c r="G324" s="223" t="str">
        <f t="shared" si="49"/>
        <v>8</v>
      </c>
      <c r="H324" s="224">
        <f t="shared" si="50"/>
        <v>8</v>
      </c>
      <c r="I324" s="223" t="str">
        <f t="shared" si="51"/>
        <v>20 min.</v>
      </c>
      <c r="J324" s="223" t="str">
        <f t="shared" si="52"/>
        <v>20</v>
      </c>
      <c r="K324" s="224">
        <f t="shared" si="53"/>
        <v>20</v>
      </c>
      <c r="L324" s="223" t="str">
        <f t="shared" si="54"/>
        <v>8:20</v>
      </c>
      <c r="M324" s="225">
        <f t="shared" si="55"/>
        <v>0.34722222222222227</v>
      </c>
      <c r="N324" s="194" t="s">
        <v>1520</v>
      </c>
      <c r="O324" s="193" t="s">
        <v>274</v>
      </c>
      <c r="P324" s="194" t="s">
        <v>275</v>
      </c>
      <c r="Q324" s="194" t="s">
        <v>276</v>
      </c>
    </row>
    <row r="325" spans="1:17" s="195" customFormat="1">
      <c r="A325" s="13">
        <v>325</v>
      </c>
      <c r="B325" s="193" t="s">
        <v>1521</v>
      </c>
      <c r="C325" s="193" t="s">
        <v>1522</v>
      </c>
      <c r="D325" s="193" t="s">
        <v>1523</v>
      </c>
      <c r="E325" s="193" t="s">
        <v>1524</v>
      </c>
      <c r="F325" s="222">
        <f t="shared" si="48"/>
        <v>12</v>
      </c>
      <c r="G325" s="223" t="str">
        <f t="shared" si="49"/>
        <v>9</v>
      </c>
      <c r="H325" s="224">
        <f t="shared" si="50"/>
        <v>9</v>
      </c>
      <c r="I325" s="223" t="str">
        <f t="shared" si="51"/>
        <v>16 min.</v>
      </c>
      <c r="J325" s="223" t="str">
        <f t="shared" si="52"/>
        <v>16</v>
      </c>
      <c r="K325" s="224">
        <f t="shared" si="53"/>
        <v>16</v>
      </c>
      <c r="L325" s="223" t="str">
        <f t="shared" si="54"/>
        <v>9:16</v>
      </c>
      <c r="M325" s="225">
        <f t="shared" si="55"/>
        <v>0.38611111111111113</v>
      </c>
      <c r="N325" s="194" t="s">
        <v>1525</v>
      </c>
      <c r="O325" s="193" t="s">
        <v>274</v>
      </c>
      <c r="P325" s="194" t="s">
        <v>275</v>
      </c>
      <c r="Q325" s="194" t="s">
        <v>276</v>
      </c>
    </row>
    <row r="326" spans="1:17" s="195" customFormat="1">
      <c r="A326" s="13">
        <v>326</v>
      </c>
      <c r="B326" s="193" t="s">
        <v>1597</v>
      </c>
      <c r="C326" s="193" t="s">
        <v>1598</v>
      </c>
      <c r="D326" s="193" t="s">
        <v>1599</v>
      </c>
      <c r="E326" s="193" t="s">
        <v>2598</v>
      </c>
      <c r="F326" s="222">
        <f t="shared" si="48"/>
        <v>13</v>
      </c>
      <c r="G326" s="223" t="str">
        <f t="shared" si="49"/>
        <v>00</v>
      </c>
      <c r="H326" s="224">
        <f t="shared" si="50"/>
        <v>0</v>
      </c>
      <c r="I326" s="223" t="str">
        <f t="shared" si="51"/>
        <v>29 min.</v>
      </c>
      <c r="J326" s="223" t="str">
        <f t="shared" si="52"/>
        <v>29</v>
      </c>
      <c r="K326" s="224">
        <f t="shared" si="53"/>
        <v>29</v>
      </c>
      <c r="L326" s="223" t="str">
        <f t="shared" si="54"/>
        <v>0:29</v>
      </c>
      <c r="M326" s="225">
        <f t="shared" si="55"/>
        <v>2.013888888888889E-2</v>
      </c>
      <c r="N326" s="194" t="s">
        <v>1600</v>
      </c>
      <c r="O326" s="193" t="s">
        <v>343</v>
      </c>
      <c r="P326" s="194" t="s">
        <v>275</v>
      </c>
      <c r="Q326" s="194" t="s">
        <v>276</v>
      </c>
    </row>
    <row r="327" spans="1:17" s="195" customFormat="1">
      <c r="A327" s="13">
        <v>327</v>
      </c>
      <c r="B327" s="193" t="s">
        <v>1605</v>
      </c>
      <c r="C327" s="193" t="s">
        <v>1606</v>
      </c>
      <c r="D327" s="193" t="s">
        <v>1607</v>
      </c>
      <c r="E327" s="193" t="s">
        <v>2599</v>
      </c>
      <c r="F327" s="222">
        <f t="shared" si="48"/>
        <v>13</v>
      </c>
      <c r="G327" s="223" t="str">
        <f t="shared" si="49"/>
        <v>00</v>
      </c>
      <c r="H327" s="224">
        <f t="shared" si="50"/>
        <v>0</v>
      </c>
      <c r="I327" s="223" t="str">
        <f t="shared" si="51"/>
        <v>55 min.</v>
      </c>
      <c r="J327" s="223" t="str">
        <f t="shared" si="52"/>
        <v>55</v>
      </c>
      <c r="K327" s="224">
        <f t="shared" si="53"/>
        <v>55</v>
      </c>
      <c r="L327" s="223" t="str">
        <f t="shared" si="54"/>
        <v>0:55</v>
      </c>
      <c r="M327" s="225">
        <f t="shared" si="55"/>
        <v>3.8194444444444441E-2</v>
      </c>
      <c r="N327" s="194" t="s">
        <v>285</v>
      </c>
      <c r="O327" s="193" t="s">
        <v>274</v>
      </c>
      <c r="P327" s="194" t="s">
        <v>275</v>
      </c>
      <c r="Q327" s="194" t="s">
        <v>276</v>
      </c>
    </row>
    <row r="328" spans="1:17" s="195" customFormat="1">
      <c r="A328" s="13">
        <v>328</v>
      </c>
      <c r="B328" s="193" t="s">
        <v>1608</v>
      </c>
      <c r="C328" s="193" t="s">
        <v>1609</v>
      </c>
      <c r="D328" s="193" t="s">
        <v>1610</v>
      </c>
      <c r="E328" s="193" t="s">
        <v>2600</v>
      </c>
      <c r="F328" s="222">
        <f t="shared" si="48"/>
        <v>13</v>
      </c>
      <c r="G328" s="223" t="str">
        <f t="shared" si="49"/>
        <v>00</v>
      </c>
      <c r="H328" s="224">
        <f t="shared" si="50"/>
        <v>0</v>
      </c>
      <c r="I328" s="223" t="str">
        <f t="shared" si="51"/>
        <v>18 min.</v>
      </c>
      <c r="J328" s="223" t="str">
        <f t="shared" si="52"/>
        <v>18</v>
      </c>
      <c r="K328" s="224">
        <f t="shared" si="53"/>
        <v>18</v>
      </c>
      <c r="L328" s="223" t="str">
        <f t="shared" si="54"/>
        <v>0:18</v>
      </c>
      <c r="M328" s="225">
        <f t="shared" si="55"/>
        <v>1.2499999999999999E-2</v>
      </c>
      <c r="N328" s="194" t="s">
        <v>1611</v>
      </c>
      <c r="O328" s="193" t="s">
        <v>343</v>
      </c>
      <c r="P328" s="194" t="s">
        <v>275</v>
      </c>
      <c r="Q328" s="194" t="s">
        <v>276</v>
      </c>
    </row>
    <row r="329" spans="1:17" s="195" customFormat="1">
      <c r="A329" s="13">
        <v>329</v>
      </c>
      <c r="B329" s="193" t="s">
        <v>1612</v>
      </c>
      <c r="C329" s="193" t="s">
        <v>1613</v>
      </c>
      <c r="D329" s="193" t="s">
        <v>1614</v>
      </c>
      <c r="E329" s="193" t="s">
        <v>1615</v>
      </c>
      <c r="F329" s="222">
        <f t="shared" si="48"/>
        <v>13</v>
      </c>
      <c r="G329" s="223" t="str">
        <f t="shared" si="49"/>
        <v>14</v>
      </c>
      <c r="H329" s="224">
        <f t="shared" si="50"/>
        <v>14</v>
      </c>
      <c r="I329" s="223" t="str">
        <f t="shared" si="51"/>
        <v>18 min.</v>
      </c>
      <c r="J329" s="223" t="str">
        <f t="shared" si="52"/>
        <v>18</v>
      </c>
      <c r="K329" s="224">
        <f t="shared" si="53"/>
        <v>18</v>
      </c>
      <c r="L329" s="223" t="str">
        <f t="shared" si="54"/>
        <v>14:18</v>
      </c>
      <c r="M329" s="225">
        <f t="shared" si="55"/>
        <v>0.59583333333333333</v>
      </c>
      <c r="N329" s="194" t="s">
        <v>1616</v>
      </c>
      <c r="O329" s="193" t="s">
        <v>303</v>
      </c>
      <c r="P329" s="194" t="s">
        <v>275</v>
      </c>
      <c r="Q329" s="194" t="s">
        <v>276</v>
      </c>
    </row>
    <row r="330" spans="1:17" s="195" customFormat="1">
      <c r="A330" s="13">
        <v>330</v>
      </c>
      <c r="B330" s="193" t="s">
        <v>1621</v>
      </c>
      <c r="C330" s="193" t="s">
        <v>1622</v>
      </c>
      <c r="D330" s="193" t="s">
        <v>1623</v>
      </c>
      <c r="E330" s="193" t="s">
        <v>2601</v>
      </c>
      <c r="F330" s="222">
        <f t="shared" si="48"/>
        <v>13</v>
      </c>
      <c r="G330" s="223" t="str">
        <f t="shared" si="49"/>
        <v>00</v>
      </c>
      <c r="H330" s="224">
        <f t="shared" si="50"/>
        <v>0</v>
      </c>
      <c r="I330" s="223" t="str">
        <f t="shared" si="51"/>
        <v>28 min.</v>
      </c>
      <c r="J330" s="223" t="str">
        <f t="shared" si="52"/>
        <v>28</v>
      </c>
      <c r="K330" s="224">
        <f t="shared" si="53"/>
        <v>28</v>
      </c>
      <c r="L330" s="223" t="str">
        <f t="shared" si="54"/>
        <v>0:28</v>
      </c>
      <c r="M330" s="225">
        <f t="shared" si="55"/>
        <v>1.9444444444444445E-2</v>
      </c>
      <c r="N330" s="194" t="s">
        <v>1624</v>
      </c>
      <c r="O330" s="193" t="s">
        <v>343</v>
      </c>
      <c r="P330" s="194" t="s">
        <v>275</v>
      </c>
      <c r="Q330" s="194" t="s">
        <v>276</v>
      </c>
    </row>
    <row r="331" spans="1:17" s="195" customFormat="1">
      <c r="A331" s="13">
        <v>331</v>
      </c>
      <c r="B331" s="193" t="s">
        <v>1629</v>
      </c>
      <c r="C331" s="193" t="s">
        <v>1606</v>
      </c>
      <c r="D331" s="193" t="s">
        <v>1630</v>
      </c>
      <c r="E331" s="193" t="s">
        <v>453</v>
      </c>
      <c r="F331" s="222">
        <f t="shared" si="48"/>
        <v>12</v>
      </c>
      <c r="G331" s="223" t="str">
        <f t="shared" si="49"/>
        <v>1</v>
      </c>
      <c r="H331" s="224">
        <f t="shared" si="50"/>
        <v>1</v>
      </c>
      <c r="I331" s="223" t="str">
        <f t="shared" si="51"/>
        <v>07 min.</v>
      </c>
      <c r="J331" s="223" t="str">
        <f t="shared" si="52"/>
        <v>07</v>
      </c>
      <c r="K331" s="224">
        <f t="shared" si="53"/>
        <v>7</v>
      </c>
      <c r="L331" s="223" t="str">
        <f t="shared" si="54"/>
        <v>1:7</v>
      </c>
      <c r="M331" s="225">
        <f t="shared" si="55"/>
        <v>4.6527777777777779E-2</v>
      </c>
      <c r="N331" s="194" t="s">
        <v>285</v>
      </c>
      <c r="O331" s="193" t="s">
        <v>274</v>
      </c>
      <c r="P331" s="194" t="s">
        <v>275</v>
      </c>
      <c r="Q331" s="194" t="s">
        <v>276</v>
      </c>
    </row>
    <row r="332" spans="1:17" s="195" customFormat="1">
      <c r="A332" s="13">
        <v>332</v>
      </c>
      <c r="B332" s="193" t="s">
        <v>1641</v>
      </c>
      <c r="C332" s="193" t="s">
        <v>1642</v>
      </c>
      <c r="D332" s="193" t="s">
        <v>1643</v>
      </c>
      <c r="E332" s="193" t="s">
        <v>901</v>
      </c>
      <c r="F332" s="222">
        <f t="shared" si="48"/>
        <v>12</v>
      </c>
      <c r="G332" s="223" t="str">
        <f t="shared" si="49"/>
        <v>7</v>
      </c>
      <c r="H332" s="224">
        <f t="shared" si="50"/>
        <v>7</v>
      </c>
      <c r="I332" s="223" t="str">
        <f t="shared" si="51"/>
        <v>01 min.</v>
      </c>
      <c r="J332" s="223" t="str">
        <f t="shared" si="52"/>
        <v>01</v>
      </c>
      <c r="K332" s="224">
        <f t="shared" si="53"/>
        <v>1</v>
      </c>
      <c r="L332" s="223" t="str">
        <f t="shared" si="54"/>
        <v>7:1</v>
      </c>
      <c r="M332" s="225">
        <f t="shared" si="55"/>
        <v>0.29236111111111113</v>
      </c>
      <c r="N332" s="194" t="s">
        <v>1644</v>
      </c>
      <c r="O332" s="193" t="s">
        <v>303</v>
      </c>
      <c r="P332" s="194" t="s">
        <v>275</v>
      </c>
      <c r="Q332" s="194" t="s">
        <v>276</v>
      </c>
    </row>
    <row r="333" spans="1:17" s="195" customFormat="1">
      <c r="A333" s="13">
        <v>333</v>
      </c>
      <c r="B333" s="193" t="s">
        <v>1648</v>
      </c>
      <c r="C333" s="193" t="s">
        <v>1606</v>
      </c>
      <c r="D333" s="193" t="s">
        <v>1649</v>
      </c>
      <c r="E333" s="193" t="s">
        <v>2602</v>
      </c>
      <c r="F333" s="222">
        <f t="shared" ref="F333:F364" si="56">LEN(E333)</f>
        <v>13</v>
      </c>
      <c r="G333" s="223" t="str">
        <f t="shared" ref="G333:G364" si="57">IF(F333=12,LEFT(E333,1),LEFT(E333,2))</f>
        <v>00</v>
      </c>
      <c r="H333" s="224">
        <f t="shared" ref="H333:H364" si="58">VALUE(G333)</f>
        <v>0</v>
      </c>
      <c r="I333" s="223" t="str">
        <f t="shared" ref="I333:I364" si="59">RIGHT(E333,7)</f>
        <v>58 min.</v>
      </c>
      <c r="J333" s="223" t="str">
        <f t="shared" ref="J333:J364" si="60">LEFT(I333,2)</f>
        <v>58</v>
      </c>
      <c r="K333" s="224">
        <f t="shared" ref="K333:K364" si="61">VALUE(J333)</f>
        <v>58</v>
      </c>
      <c r="L333" s="223" t="str">
        <f t="shared" ref="L333:L364" si="62">H333&amp;":"&amp;K333</f>
        <v>0:58</v>
      </c>
      <c r="M333" s="225">
        <f t="shared" ref="M333:M364" si="63">VALUE(L333)</f>
        <v>4.027777777777778E-2</v>
      </c>
      <c r="N333" s="194" t="s">
        <v>285</v>
      </c>
      <c r="O333" s="193" t="s">
        <v>274</v>
      </c>
      <c r="P333" s="194" t="s">
        <v>275</v>
      </c>
      <c r="Q333" s="194" t="s">
        <v>276</v>
      </c>
    </row>
    <row r="334" spans="1:17" s="195" customFormat="1">
      <c r="A334" s="13">
        <v>334</v>
      </c>
      <c r="B334" s="193" t="s">
        <v>1650</v>
      </c>
      <c r="C334" s="193" t="s">
        <v>1651</v>
      </c>
      <c r="D334" s="193" t="s">
        <v>1652</v>
      </c>
      <c r="E334" s="193" t="s">
        <v>1653</v>
      </c>
      <c r="F334" s="222">
        <f t="shared" si="56"/>
        <v>12</v>
      </c>
      <c r="G334" s="223" t="str">
        <f t="shared" si="57"/>
        <v>1</v>
      </c>
      <c r="H334" s="224">
        <f t="shared" si="58"/>
        <v>1</v>
      </c>
      <c r="I334" s="223" t="str">
        <f t="shared" si="59"/>
        <v>04 min.</v>
      </c>
      <c r="J334" s="223" t="str">
        <f t="shared" si="60"/>
        <v>04</v>
      </c>
      <c r="K334" s="224">
        <f t="shared" si="61"/>
        <v>4</v>
      </c>
      <c r="L334" s="223" t="str">
        <f t="shared" si="62"/>
        <v>1:4</v>
      </c>
      <c r="M334" s="225">
        <f t="shared" si="63"/>
        <v>4.4444444444444446E-2</v>
      </c>
      <c r="N334" s="194" t="s">
        <v>285</v>
      </c>
      <c r="O334" s="193" t="s">
        <v>274</v>
      </c>
      <c r="P334" s="194" t="s">
        <v>275</v>
      </c>
      <c r="Q334" s="194" t="s">
        <v>276</v>
      </c>
    </row>
    <row r="335" spans="1:17" s="195" customFormat="1">
      <c r="A335" s="13">
        <v>335</v>
      </c>
      <c r="B335" s="193" t="s">
        <v>1654</v>
      </c>
      <c r="C335" s="193" t="s">
        <v>1655</v>
      </c>
      <c r="D335" s="193" t="s">
        <v>1656</v>
      </c>
      <c r="E335" s="193" t="s">
        <v>1657</v>
      </c>
      <c r="F335" s="222">
        <f t="shared" si="56"/>
        <v>13</v>
      </c>
      <c r="G335" s="223" t="str">
        <f t="shared" si="57"/>
        <v>15</v>
      </c>
      <c r="H335" s="224">
        <f t="shared" si="58"/>
        <v>15</v>
      </c>
      <c r="I335" s="223" t="str">
        <f t="shared" si="59"/>
        <v>37 min.</v>
      </c>
      <c r="J335" s="223" t="str">
        <f t="shared" si="60"/>
        <v>37</v>
      </c>
      <c r="K335" s="224">
        <f t="shared" si="61"/>
        <v>37</v>
      </c>
      <c r="L335" s="223" t="str">
        <f t="shared" si="62"/>
        <v>15:37</v>
      </c>
      <c r="M335" s="225">
        <f t="shared" si="63"/>
        <v>0.65069444444444446</v>
      </c>
      <c r="N335" s="194" t="s">
        <v>1658</v>
      </c>
      <c r="O335" s="193" t="s">
        <v>274</v>
      </c>
      <c r="P335" s="194" t="s">
        <v>275</v>
      </c>
      <c r="Q335" s="194" t="s">
        <v>276</v>
      </c>
    </row>
    <row r="336" spans="1:17" s="195" customFormat="1">
      <c r="A336" s="13">
        <v>336</v>
      </c>
      <c r="B336" s="193" t="s">
        <v>1659</v>
      </c>
      <c r="C336" s="193" t="s">
        <v>1660</v>
      </c>
      <c r="D336" s="193" t="s">
        <v>1661</v>
      </c>
      <c r="E336" s="193" t="s">
        <v>1662</v>
      </c>
      <c r="F336" s="222">
        <f t="shared" si="56"/>
        <v>13</v>
      </c>
      <c r="G336" s="223" t="str">
        <f t="shared" si="57"/>
        <v>12</v>
      </c>
      <c r="H336" s="224">
        <f t="shared" si="58"/>
        <v>12</v>
      </c>
      <c r="I336" s="223" t="str">
        <f t="shared" si="59"/>
        <v>43 min.</v>
      </c>
      <c r="J336" s="223" t="str">
        <f t="shared" si="60"/>
        <v>43</v>
      </c>
      <c r="K336" s="224">
        <f t="shared" si="61"/>
        <v>43</v>
      </c>
      <c r="L336" s="223" t="str">
        <f t="shared" si="62"/>
        <v>12:43</v>
      </c>
      <c r="M336" s="225">
        <f t="shared" si="63"/>
        <v>0.52986111111111112</v>
      </c>
      <c r="N336" s="194" t="s">
        <v>795</v>
      </c>
      <c r="O336" s="193" t="s">
        <v>1663</v>
      </c>
      <c r="P336" s="194" t="s">
        <v>275</v>
      </c>
      <c r="Q336" s="194" t="s">
        <v>276</v>
      </c>
    </row>
    <row r="337" spans="1:17" s="195" customFormat="1">
      <c r="A337" s="13">
        <v>337</v>
      </c>
      <c r="B337" s="193" t="s">
        <v>1673</v>
      </c>
      <c r="C337" s="193" t="s">
        <v>1674</v>
      </c>
      <c r="D337" s="193" t="s">
        <v>1675</v>
      </c>
      <c r="E337" s="193" t="s">
        <v>1017</v>
      </c>
      <c r="F337" s="222">
        <f t="shared" si="56"/>
        <v>12</v>
      </c>
      <c r="G337" s="223" t="str">
        <f t="shared" si="57"/>
        <v>3</v>
      </c>
      <c r="H337" s="224">
        <f t="shared" si="58"/>
        <v>3</v>
      </c>
      <c r="I337" s="223" t="str">
        <f t="shared" si="59"/>
        <v>56 min.</v>
      </c>
      <c r="J337" s="223" t="str">
        <f t="shared" si="60"/>
        <v>56</v>
      </c>
      <c r="K337" s="224">
        <f t="shared" si="61"/>
        <v>56</v>
      </c>
      <c r="L337" s="223" t="str">
        <f t="shared" si="62"/>
        <v>3:56</v>
      </c>
      <c r="M337" s="225">
        <f t="shared" si="63"/>
        <v>0.16388888888888889</v>
      </c>
      <c r="N337" s="194" t="s">
        <v>800</v>
      </c>
      <c r="O337" s="193" t="s">
        <v>811</v>
      </c>
      <c r="P337" s="194" t="s">
        <v>275</v>
      </c>
      <c r="Q337" s="194" t="s">
        <v>276</v>
      </c>
    </row>
    <row r="338" spans="1:17" s="195" customFormat="1">
      <c r="A338" s="13">
        <v>338</v>
      </c>
      <c r="B338" s="193" t="s">
        <v>1694</v>
      </c>
      <c r="C338" s="193" t="s">
        <v>1442</v>
      </c>
      <c r="D338" s="193" t="s">
        <v>1695</v>
      </c>
      <c r="E338" s="193" t="s">
        <v>308</v>
      </c>
      <c r="F338" s="222">
        <f t="shared" si="56"/>
        <v>12</v>
      </c>
      <c r="G338" s="223" t="str">
        <f t="shared" si="57"/>
        <v>1</v>
      </c>
      <c r="H338" s="224">
        <f t="shared" si="58"/>
        <v>1</v>
      </c>
      <c r="I338" s="223" t="str">
        <f t="shared" si="59"/>
        <v>43 min.</v>
      </c>
      <c r="J338" s="223" t="str">
        <f t="shared" si="60"/>
        <v>43</v>
      </c>
      <c r="K338" s="224">
        <f t="shared" si="61"/>
        <v>43</v>
      </c>
      <c r="L338" s="223" t="str">
        <f t="shared" si="62"/>
        <v>1:43</v>
      </c>
      <c r="M338" s="225">
        <f t="shared" si="63"/>
        <v>7.1527777777777787E-2</v>
      </c>
      <c r="N338" s="194" t="s">
        <v>1696</v>
      </c>
      <c r="O338" s="193" t="s">
        <v>303</v>
      </c>
      <c r="P338" s="194" t="s">
        <v>275</v>
      </c>
      <c r="Q338" s="194" t="s">
        <v>276</v>
      </c>
    </row>
    <row r="339" spans="1:17" s="195" customFormat="1">
      <c r="A339" s="13">
        <v>339</v>
      </c>
      <c r="B339" s="193" t="s">
        <v>1697</v>
      </c>
      <c r="C339" s="193" t="s">
        <v>792</v>
      </c>
      <c r="D339" s="193" t="s">
        <v>1698</v>
      </c>
      <c r="E339" s="193" t="s">
        <v>1699</v>
      </c>
      <c r="F339" s="222">
        <f t="shared" si="56"/>
        <v>13</v>
      </c>
      <c r="G339" s="223" t="str">
        <f t="shared" si="57"/>
        <v>12</v>
      </c>
      <c r="H339" s="224">
        <f t="shared" si="58"/>
        <v>12</v>
      </c>
      <c r="I339" s="223" t="str">
        <f t="shared" si="59"/>
        <v>56 min.</v>
      </c>
      <c r="J339" s="223" t="str">
        <f t="shared" si="60"/>
        <v>56</v>
      </c>
      <c r="K339" s="224">
        <f t="shared" si="61"/>
        <v>56</v>
      </c>
      <c r="L339" s="223" t="str">
        <f t="shared" si="62"/>
        <v>12:56</v>
      </c>
      <c r="M339" s="225">
        <f t="shared" si="63"/>
        <v>0.53888888888888886</v>
      </c>
      <c r="N339" s="194" t="s">
        <v>1700</v>
      </c>
      <c r="O339" s="193" t="s">
        <v>303</v>
      </c>
      <c r="P339" s="194" t="s">
        <v>275</v>
      </c>
      <c r="Q339" s="194" t="s">
        <v>276</v>
      </c>
    </row>
    <row r="340" spans="1:17" s="195" customFormat="1">
      <c r="A340" s="13">
        <v>340</v>
      </c>
      <c r="B340" s="193" t="s">
        <v>1701</v>
      </c>
      <c r="C340" s="193" t="s">
        <v>859</v>
      </c>
      <c r="D340" s="193" t="s">
        <v>1702</v>
      </c>
      <c r="E340" s="193" t="s">
        <v>1703</v>
      </c>
      <c r="F340" s="222">
        <f t="shared" si="56"/>
        <v>13</v>
      </c>
      <c r="G340" s="223" t="str">
        <f t="shared" si="57"/>
        <v>12</v>
      </c>
      <c r="H340" s="224">
        <f t="shared" si="58"/>
        <v>12</v>
      </c>
      <c r="I340" s="223" t="str">
        <f t="shared" si="59"/>
        <v>52 min.</v>
      </c>
      <c r="J340" s="223" t="str">
        <f t="shared" si="60"/>
        <v>52</v>
      </c>
      <c r="K340" s="224">
        <f t="shared" si="61"/>
        <v>52</v>
      </c>
      <c r="L340" s="223" t="str">
        <f t="shared" si="62"/>
        <v>12:52</v>
      </c>
      <c r="M340" s="225">
        <f t="shared" si="63"/>
        <v>0.53611111111111109</v>
      </c>
      <c r="N340" s="194" t="s">
        <v>1704</v>
      </c>
      <c r="O340" s="193" t="s">
        <v>274</v>
      </c>
      <c r="P340" s="194" t="s">
        <v>275</v>
      </c>
      <c r="Q340" s="194" t="s">
        <v>276</v>
      </c>
    </row>
    <row r="341" spans="1:17" s="195" customFormat="1">
      <c r="A341" s="13">
        <v>341</v>
      </c>
      <c r="B341" s="193" t="s">
        <v>1705</v>
      </c>
      <c r="C341" s="193" t="s">
        <v>1706</v>
      </c>
      <c r="D341" s="193" t="s">
        <v>1707</v>
      </c>
      <c r="E341" s="193" t="s">
        <v>1708</v>
      </c>
      <c r="F341" s="222">
        <f t="shared" si="56"/>
        <v>13</v>
      </c>
      <c r="G341" s="223" t="str">
        <f t="shared" si="57"/>
        <v>12</v>
      </c>
      <c r="H341" s="224">
        <f t="shared" si="58"/>
        <v>12</v>
      </c>
      <c r="I341" s="223" t="str">
        <f t="shared" si="59"/>
        <v>23 min.</v>
      </c>
      <c r="J341" s="223" t="str">
        <f t="shared" si="60"/>
        <v>23</v>
      </c>
      <c r="K341" s="224">
        <f t="shared" si="61"/>
        <v>23</v>
      </c>
      <c r="L341" s="223" t="str">
        <f t="shared" si="62"/>
        <v>12:23</v>
      </c>
      <c r="M341" s="225">
        <f t="shared" si="63"/>
        <v>0.51597222222222217</v>
      </c>
      <c r="N341" s="194" t="s">
        <v>1709</v>
      </c>
      <c r="O341" s="193" t="s">
        <v>303</v>
      </c>
      <c r="P341" s="194" t="s">
        <v>275</v>
      </c>
      <c r="Q341" s="194" t="s">
        <v>276</v>
      </c>
    </row>
    <row r="342" spans="1:17" s="195" customFormat="1">
      <c r="A342" s="13">
        <v>342</v>
      </c>
      <c r="B342" s="193" t="s">
        <v>1710</v>
      </c>
      <c r="C342" s="193" t="s">
        <v>1711</v>
      </c>
      <c r="D342" s="193" t="s">
        <v>1712</v>
      </c>
      <c r="E342" s="193" t="s">
        <v>1713</v>
      </c>
      <c r="F342" s="222">
        <f t="shared" si="56"/>
        <v>13</v>
      </c>
      <c r="G342" s="223" t="str">
        <f t="shared" si="57"/>
        <v>10</v>
      </c>
      <c r="H342" s="224">
        <f t="shared" si="58"/>
        <v>10</v>
      </c>
      <c r="I342" s="223" t="str">
        <f t="shared" si="59"/>
        <v>37 min.</v>
      </c>
      <c r="J342" s="223" t="str">
        <f t="shared" si="60"/>
        <v>37</v>
      </c>
      <c r="K342" s="224">
        <f t="shared" si="61"/>
        <v>37</v>
      </c>
      <c r="L342" s="223" t="str">
        <f t="shared" si="62"/>
        <v>10:37</v>
      </c>
      <c r="M342" s="225">
        <f t="shared" si="63"/>
        <v>0.44236111111111115</v>
      </c>
      <c r="N342" s="194" t="s">
        <v>1714</v>
      </c>
      <c r="O342" s="193" t="s">
        <v>274</v>
      </c>
      <c r="P342" s="194" t="s">
        <v>275</v>
      </c>
      <c r="Q342" s="194" t="s">
        <v>276</v>
      </c>
    </row>
    <row r="343" spans="1:17" s="195" customFormat="1">
      <c r="A343" s="13">
        <v>343</v>
      </c>
      <c r="B343" s="193" t="s">
        <v>1715</v>
      </c>
      <c r="C343" s="193" t="s">
        <v>1716</v>
      </c>
      <c r="D343" s="193" t="s">
        <v>1717</v>
      </c>
      <c r="E343" s="193" t="s">
        <v>1718</v>
      </c>
      <c r="F343" s="222">
        <f t="shared" si="56"/>
        <v>12</v>
      </c>
      <c r="G343" s="223" t="str">
        <f t="shared" si="57"/>
        <v>7</v>
      </c>
      <c r="H343" s="224">
        <f t="shared" si="58"/>
        <v>7</v>
      </c>
      <c r="I343" s="223" t="str">
        <f t="shared" si="59"/>
        <v>56 min.</v>
      </c>
      <c r="J343" s="223" t="str">
        <f t="shared" si="60"/>
        <v>56</v>
      </c>
      <c r="K343" s="224">
        <f t="shared" si="61"/>
        <v>56</v>
      </c>
      <c r="L343" s="223" t="str">
        <f t="shared" si="62"/>
        <v>7:56</v>
      </c>
      <c r="M343" s="225">
        <f t="shared" si="63"/>
        <v>0.33055555555555555</v>
      </c>
      <c r="N343" s="194" t="s">
        <v>1719</v>
      </c>
      <c r="O343" s="193" t="s">
        <v>303</v>
      </c>
      <c r="P343" s="194" t="s">
        <v>275</v>
      </c>
      <c r="Q343" s="194" t="s">
        <v>276</v>
      </c>
    </row>
    <row r="344" spans="1:17" s="195" customFormat="1">
      <c r="A344" s="13">
        <v>344</v>
      </c>
      <c r="B344" s="193" t="s">
        <v>1720</v>
      </c>
      <c r="C344" s="193" t="s">
        <v>1721</v>
      </c>
      <c r="D344" s="193" t="s">
        <v>1722</v>
      </c>
      <c r="E344" s="193" t="s">
        <v>1723</v>
      </c>
      <c r="F344" s="222">
        <f t="shared" si="56"/>
        <v>12</v>
      </c>
      <c r="G344" s="223" t="str">
        <f t="shared" si="57"/>
        <v>7</v>
      </c>
      <c r="H344" s="224">
        <f t="shared" si="58"/>
        <v>7</v>
      </c>
      <c r="I344" s="223" t="str">
        <f t="shared" si="59"/>
        <v>17 min.</v>
      </c>
      <c r="J344" s="223" t="str">
        <f t="shared" si="60"/>
        <v>17</v>
      </c>
      <c r="K344" s="224">
        <f t="shared" si="61"/>
        <v>17</v>
      </c>
      <c r="L344" s="223" t="str">
        <f t="shared" si="62"/>
        <v>7:17</v>
      </c>
      <c r="M344" s="225">
        <f t="shared" si="63"/>
        <v>0.3034722222222222</v>
      </c>
      <c r="N344" s="194" t="s">
        <v>285</v>
      </c>
      <c r="O344" s="193" t="s">
        <v>303</v>
      </c>
      <c r="P344" s="194" t="s">
        <v>275</v>
      </c>
      <c r="Q344" s="194" t="s">
        <v>276</v>
      </c>
    </row>
    <row r="345" spans="1:17" s="195" customFormat="1">
      <c r="A345" s="13">
        <v>345</v>
      </c>
      <c r="B345" s="193" t="s">
        <v>1724</v>
      </c>
      <c r="C345" s="193" t="s">
        <v>1725</v>
      </c>
      <c r="D345" s="193" t="s">
        <v>1726</v>
      </c>
      <c r="E345" s="193" t="s">
        <v>1727</v>
      </c>
      <c r="F345" s="222">
        <f t="shared" si="56"/>
        <v>12</v>
      </c>
      <c r="G345" s="223" t="str">
        <f t="shared" si="57"/>
        <v>3</v>
      </c>
      <c r="H345" s="224">
        <f t="shared" si="58"/>
        <v>3</v>
      </c>
      <c r="I345" s="223" t="str">
        <f t="shared" si="59"/>
        <v>12 min.</v>
      </c>
      <c r="J345" s="223" t="str">
        <f t="shared" si="60"/>
        <v>12</v>
      </c>
      <c r="K345" s="224">
        <f t="shared" si="61"/>
        <v>12</v>
      </c>
      <c r="L345" s="223" t="str">
        <f t="shared" si="62"/>
        <v>3:12</v>
      </c>
      <c r="M345" s="225">
        <f t="shared" si="63"/>
        <v>0.13333333333333333</v>
      </c>
      <c r="N345" s="194" t="s">
        <v>1728</v>
      </c>
      <c r="O345" s="193" t="s">
        <v>303</v>
      </c>
      <c r="P345" s="194" t="s">
        <v>275</v>
      </c>
      <c r="Q345" s="194" t="s">
        <v>276</v>
      </c>
    </row>
    <row r="346" spans="1:17" s="195" customFormat="1">
      <c r="A346" s="13">
        <v>346</v>
      </c>
      <c r="B346" s="193" t="s">
        <v>1791</v>
      </c>
      <c r="C346" s="193" t="s">
        <v>1792</v>
      </c>
      <c r="D346" s="193" t="s">
        <v>1793</v>
      </c>
      <c r="E346" s="193" t="s">
        <v>2608</v>
      </c>
      <c r="F346" s="222">
        <f t="shared" si="56"/>
        <v>13</v>
      </c>
      <c r="G346" s="223" t="str">
        <f t="shared" si="57"/>
        <v>14</v>
      </c>
      <c r="H346" s="224">
        <f t="shared" si="58"/>
        <v>14</v>
      </c>
      <c r="I346" s="223" t="str">
        <f t="shared" si="59"/>
        <v>40 min.</v>
      </c>
      <c r="J346" s="223" t="str">
        <f t="shared" si="60"/>
        <v>40</v>
      </c>
      <c r="K346" s="224">
        <f t="shared" si="61"/>
        <v>40</v>
      </c>
      <c r="L346" s="223" t="str">
        <f t="shared" si="62"/>
        <v>14:40</v>
      </c>
      <c r="M346" s="225">
        <f t="shared" si="63"/>
        <v>0.61111111111111105</v>
      </c>
      <c r="N346" s="194" t="s">
        <v>1794</v>
      </c>
      <c r="O346" s="193" t="s">
        <v>303</v>
      </c>
      <c r="P346" s="194" t="s">
        <v>275</v>
      </c>
      <c r="Q346" s="194" t="s">
        <v>276</v>
      </c>
    </row>
    <row r="347" spans="1:17" s="195" customFormat="1">
      <c r="A347" s="13">
        <v>347</v>
      </c>
      <c r="B347" s="193" t="s">
        <v>1795</v>
      </c>
      <c r="C347" s="193" t="s">
        <v>1796</v>
      </c>
      <c r="D347" s="193" t="s">
        <v>1797</v>
      </c>
      <c r="E347" s="193" t="s">
        <v>2603</v>
      </c>
      <c r="F347" s="222">
        <f t="shared" si="56"/>
        <v>13</v>
      </c>
      <c r="G347" s="223" t="str">
        <f t="shared" si="57"/>
        <v>00</v>
      </c>
      <c r="H347" s="224">
        <f t="shared" si="58"/>
        <v>0</v>
      </c>
      <c r="I347" s="223" t="str">
        <f t="shared" si="59"/>
        <v>20 min.</v>
      </c>
      <c r="J347" s="223" t="str">
        <f t="shared" si="60"/>
        <v>20</v>
      </c>
      <c r="K347" s="224">
        <f t="shared" si="61"/>
        <v>20</v>
      </c>
      <c r="L347" s="223" t="str">
        <f t="shared" si="62"/>
        <v>0:20</v>
      </c>
      <c r="M347" s="225">
        <f t="shared" si="63"/>
        <v>1.3888888888888888E-2</v>
      </c>
      <c r="N347" s="194" t="s">
        <v>1798</v>
      </c>
      <c r="O347" s="193" t="s">
        <v>1123</v>
      </c>
      <c r="P347" s="194" t="s">
        <v>275</v>
      </c>
      <c r="Q347" s="194" t="s">
        <v>276</v>
      </c>
    </row>
    <row r="348" spans="1:17" s="195" customFormat="1">
      <c r="A348" s="13">
        <v>348</v>
      </c>
      <c r="B348" s="193" t="s">
        <v>1799</v>
      </c>
      <c r="C348" s="193" t="s">
        <v>1800</v>
      </c>
      <c r="D348" s="193" t="s">
        <v>1801</v>
      </c>
      <c r="E348" s="193" t="s">
        <v>2604</v>
      </c>
      <c r="F348" s="222">
        <f t="shared" si="56"/>
        <v>13</v>
      </c>
      <c r="G348" s="223" t="str">
        <f t="shared" si="57"/>
        <v>00</v>
      </c>
      <c r="H348" s="224">
        <f t="shared" si="58"/>
        <v>0</v>
      </c>
      <c r="I348" s="223" t="str">
        <f t="shared" si="59"/>
        <v>21 min.</v>
      </c>
      <c r="J348" s="223" t="str">
        <f t="shared" si="60"/>
        <v>21</v>
      </c>
      <c r="K348" s="224">
        <f t="shared" si="61"/>
        <v>21</v>
      </c>
      <c r="L348" s="223" t="str">
        <f t="shared" si="62"/>
        <v>0:21</v>
      </c>
      <c r="M348" s="225">
        <f t="shared" si="63"/>
        <v>1.4583333333333332E-2</v>
      </c>
      <c r="N348" s="194" t="s">
        <v>1802</v>
      </c>
      <c r="O348" s="193" t="s">
        <v>343</v>
      </c>
      <c r="P348" s="194" t="s">
        <v>275</v>
      </c>
      <c r="Q348" s="194" t="s">
        <v>276</v>
      </c>
    </row>
    <row r="349" spans="1:17" s="195" customFormat="1">
      <c r="A349" s="13">
        <v>349</v>
      </c>
      <c r="B349" s="193" t="s">
        <v>1807</v>
      </c>
      <c r="C349" s="193" t="s">
        <v>1808</v>
      </c>
      <c r="D349" s="193" t="s">
        <v>1809</v>
      </c>
      <c r="E349" s="193" t="s">
        <v>2600</v>
      </c>
      <c r="F349" s="222">
        <f t="shared" si="56"/>
        <v>13</v>
      </c>
      <c r="G349" s="223" t="str">
        <f t="shared" si="57"/>
        <v>00</v>
      </c>
      <c r="H349" s="224">
        <f t="shared" si="58"/>
        <v>0</v>
      </c>
      <c r="I349" s="223" t="str">
        <f t="shared" si="59"/>
        <v>18 min.</v>
      </c>
      <c r="J349" s="223" t="str">
        <f t="shared" si="60"/>
        <v>18</v>
      </c>
      <c r="K349" s="224">
        <f t="shared" si="61"/>
        <v>18</v>
      </c>
      <c r="L349" s="223" t="str">
        <f t="shared" si="62"/>
        <v>0:18</v>
      </c>
      <c r="M349" s="225">
        <f t="shared" si="63"/>
        <v>1.2499999999999999E-2</v>
      </c>
      <c r="N349" s="194" t="s">
        <v>1810</v>
      </c>
      <c r="O349" s="193" t="s">
        <v>343</v>
      </c>
      <c r="P349" s="194" t="s">
        <v>275</v>
      </c>
      <c r="Q349" s="194" t="s">
        <v>276</v>
      </c>
    </row>
    <row r="350" spans="1:17" s="195" customFormat="1">
      <c r="A350" s="13">
        <v>350</v>
      </c>
      <c r="B350" s="193" t="s">
        <v>1880</v>
      </c>
      <c r="C350" s="193" t="s">
        <v>1881</v>
      </c>
      <c r="D350" s="193" t="s">
        <v>1882</v>
      </c>
      <c r="E350" s="193" t="s">
        <v>2593</v>
      </c>
      <c r="F350" s="222">
        <f t="shared" si="56"/>
        <v>13</v>
      </c>
      <c r="G350" s="223" t="str">
        <f t="shared" si="57"/>
        <v>00</v>
      </c>
      <c r="H350" s="224">
        <f t="shared" si="58"/>
        <v>0</v>
      </c>
      <c r="I350" s="223" t="str">
        <f t="shared" si="59"/>
        <v>17 min.</v>
      </c>
      <c r="J350" s="223" t="str">
        <f t="shared" si="60"/>
        <v>17</v>
      </c>
      <c r="K350" s="224">
        <f t="shared" si="61"/>
        <v>17</v>
      </c>
      <c r="L350" s="223" t="str">
        <f t="shared" si="62"/>
        <v>0:17</v>
      </c>
      <c r="M350" s="225">
        <f t="shared" si="63"/>
        <v>1.1805555555555555E-2</v>
      </c>
      <c r="N350" s="194" t="s">
        <v>1883</v>
      </c>
      <c r="O350" s="193" t="s">
        <v>343</v>
      </c>
      <c r="P350" s="194" t="s">
        <v>275</v>
      </c>
      <c r="Q350" s="194" t="s">
        <v>276</v>
      </c>
    </row>
    <row r="351" spans="1:17" s="195" customFormat="1">
      <c r="A351" s="13">
        <v>351</v>
      </c>
      <c r="B351" s="193" t="s">
        <v>1884</v>
      </c>
      <c r="C351" s="193" t="s">
        <v>1800</v>
      </c>
      <c r="D351" s="193" t="s">
        <v>1885</v>
      </c>
      <c r="E351" s="193" t="s">
        <v>2593</v>
      </c>
      <c r="F351" s="222">
        <f t="shared" si="56"/>
        <v>13</v>
      </c>
      <c r="G351" s="223" t="str">
        <f t="shared" si="57"/>
        <v>00</v>
      </c>
      <c r="H351" s="224">
        <f t="shared" si="58"/>
        <v>0</v>
      </c>
      <c r="I351" s="223" t="str">
        <f t="shared" si="59"/>
        <v>17 min.</v>
      </c>
      <c r="J351" s="223" t="str">
        <f t="shared" si="60"/>
        <v>17</v>
      </c>
      <c r="K351" s="224">
        <f t="shared" si="61"/>
        <v>17</v>
      </c>
      <c r="L351" s="223" t="str">
        <f t="shared" si="62"/>
        <v>0:17</v>
      </c>
      <c r="M351" s="225">
        <f t="shared" si="63"/>
        <v>1.1805555555555555E-2</v>
      </c>
      <c r="N351" s="194" t="s">
        <v>1883</v>
      </c>
      <c r="O351" s="193" t="s">
        <v>343</v>
      </c>
      <c r="P351" s="194" t="s">
        <v>275</v>
      </c>
      <c r="Q351" s="194" t="s">
        <v>276</v>
      </c>
    </row>
    <row r="352" spans="1:17" s="195" customFormat="1">
      <c r="A352" s="13">
        <v>352</v>
      </c>
      <c r="B352" s="193" t="s">
        <v>1931</v>
      </c>
      <c r="C352" s="193" t="s">
        <v>1932</v>
      </c>
      <c r="D352" s="193" t="s">
        <v>1933</v>
      </c>
      <c r="E352" s="193" t="s">
        <v>1934</v>
      </c>
      <c r="F352" s="222">
        <f t="shared" si="56"/>
        <v>12</v>
      </c>
      <c r="G352" s="223" t="str">
        <f t="shared" si="57"/>
        <v>8</v>
      </c>
      <c r="H352" s="224">
        <f t="shared" si="58"/>
        <v>8</v>
      </c>
      <c r="I352" s="223" t="str">
        <f t="shared" si="59"/>
        <v>55 min.</v>
      </c>
      <c r="J352" s="223" t="str">
        <f t="shared" si="60"/>
        <v>55</v>
      </c>
      <c r="K352" s="224">
        <f t="shared" si="61"/>
        <v>55</v>
      </c>
      <c r="L352" s="223" t="str">
        <f t="shared" si="62"/>
        <v>8:55</v>
      </c>
      <c r="M352" s="225">
        <f t="shared" si="63"/>
        <v>0.37152777777777773</v>
      </c>
      <c r="N352" s="194" t="s">
        <v>795</v>
      </c>
      <c r="O352" s="193" t="s">
        <v>1568</v>
      </c>
      <c r="P352" s="194" t="s">
        <v>275</v>
      </c>
      <c r="Q352" s="194" t="s">
        <v>276</v>
      </c>
    </row>
    <row r="353" spans="1:17" s="195" customFormat="1">
      <c r="A353" s="13">
        <v>353</v>
      </c>
      <c r="B353" s="193" t="s">
        <v>1935</v>
      </c>
      <c r="C353" s="193" t="s">
        <v>947</v>
      </c>
      <c r="D353" s="193" t="s">
        <v>1936</v>
      </c>
      <c r="E353" s="193" t="s">
        <v>1937</v>
      </c>
      <c r="F353" s="222">
        <f t="shared" si="56"/>
        <v>13</v>
      </c>
      <c r="G353" s="223" t="str">
        <f t="shared" si="57"/>
        <v>12</v>
      </c>
      <c r="H353" s="224">
        <f t="shared" si="58"/>
        <v>12</v>
      </c>
      <c r="I353" s="223" t="str">
        <f t="shared" si="59"/>
        <v>33 min.</v>
      </c>
      <c r="J353" s="223" t="str">
        <f t="shared" si="60"/>
        <v>33</v>
      </c>
      <c r="K353" s="224">
        <f t="shared" si="61"/>
        <v>33</v>
      </c>
      <c r="L353" s="223" t="str">
        <f t="shared" si="62"/>
        <v>12:33</v>
      </c>
      <c r="M353" s="225">
        <f t="shared" si="63"/>
        <v>0.5229166666666667</v>
      </c>
      <c r="N353" s="194" t="s">
        <v>1938</v>
      </c>
      <c r="O353" s="193" t="s">
        <v>274</v>
      </c>
      <c r="P353" s="194" t="s">
        <v>275</v>
      </c>
      <c r="Q353" s="194" t="s">
        <v>276</v>
      </c>
    </row>
    <row r="354" spans="1:17" s="195" customFormat="1">
      <c r="A354" s="13">
        <v>354</v>
      </c>
      <c r="B354" s="193" t="s">
        <v>1939</v>
      </c>
      <c r="C354" s="193" t="s">
        <v>1792</v>
      </c>
      <c r="D354" s="193" t="s">
        <v>1940</v>
      </c>
      <c r="E354" s="193" t="s">
        <v>1941</v>
      </c>
      <c r="F354" s="222">
        <f t="shared" si="56"/>
        <v>13</v>
      </c>
      <c r="G354" s="223" t="str">
        <f t="shared" si="57"/>
        <v>12</v>
      </c>
      <c r="H354" s="224">
        <f t="shared" si="58"/>
        <v>12</v>
      </c>
      <c r="I354" s="223" t="str">
        <f t="shared" si="59"/>
        <v>31 min.</v>
      </c>
      <c r="J354" s="223" t="str">
        <f t="shared" si="60"/>
        <v>31</v>
      </c>
      <c r="K354" s="224">
        <f t="shared" si="61"/>
        <v>31</v>
      </c>
      <c r="L354" s="223" t="str">
        <f t="shared" si="62"/>
        <v>12:31</v>
      </c>
      <c r="M354" s="225">
        <f t="shared" si="63"/>
        <v>0.52152777777777781</v>
      </c>
      <c r="N354" s="194" t="s">
        <v>1942</v>
      </c>
      <c r="O354" s="193" t="s">
        <v>303</v>
      </c>
      <c r="P354" s="194" t="s">
        <v>275</v>
      </c>
      <c r="Q354" s="194" t="s">
        <v>276</v>
      </c>
    </row>
    <row r="355" spans="1:17" s="195" customFormat="1">
      <c r="A355" s="13">
        <v>355</v>
      </c>
      <c r="B355" s="193" t="s">
        <v>1943</v>
      </c>
      <c r="C355" s="193" t="s">
        <v>1944</v>
      </c>
      <c r="D355" s="193" t="s">
        <v>1945</v>
      </c>
      <c r="E355" s="193" t="s">
        <v>1946</v>
      </c>
      <c r="F355" s="222">
        <f t="shared" si="56"/>
        <v>13</v>
      </c>
      <c r="G355" s="223" t="str">
        <f t="shared" si="57"/>
        <v>14</v>
      </c>
      <c r="H355" s="224">
        <f t="shared" si="58"/>
        <v>14</v>
      </c>
      <c r="I355" s="223" t="str">
        <f t="shared" si="59"/>
        <v>51 min.</v>
      </c>
      <c r="J355" s="223" t="str">
        <f t="shared" si="60"/>
        <v>51</v>
      </c>
      <c r="K355" s="224">
        <f t="shared" si="61"/>
        <v>51</v>
      </c>
      <c r="L355" s="223" t="str">
        <f t="shared" si="62"/>
        <v>14:51</v>
      </c>
      <c r="M355" s="225">
        <f t="shared" si="63"/>
        <v>0.61875000000000002</v>
      </c>
      <c r="N355" s="194" t="s">
        <v>1947</v>
      </c>
      <c r="O355" s="193" t="s">
        <v>274</v>
      </c>
      <c r="P355" s="194" t="s">
        <v>275</v>
      </c>
      <c r="Q355" s="194" t="s">
        <v>276</v>
      </c>
    </row>
    <row r="356" spans="1:17" s="195" customFormat="1">
      <c r="A356" s="13">
        <v>356</v>
      </c>
      <c r="B356" s="193" t="s">
        <v>1948</v>
      </c>
      <c r="C356" s="193" t="s">
        <v>1949</v>
      </c>
      <c r="D356" s="193" t="s">
        <v>1950</v>
      </c>
      <c r="E356" s="193" t="s">
        <v>1951</v>
      </c>
      <c r="F356" s="222">
        <f t="shared" si="56"/>
        <v>12</v>
      </c>
      <c r="G356" s="223" t="str">
        <f t="shared" si="57"/>
        <v>1</v>
      </c>
      <c r="H356" s="224">
        <f t="shared" si="58"/>
        <v>1</v>
      </c>
      <c r="I356" s="223" t="str">
        <f t="shared" si="59"/>
        <v>53 min.</v>
      </c>
      <c r="J356" s="223" t="str">
        <f t="shared" si="60"/>
        <v>53</v>
      </c>
      <c r="K356" s="224">
        <f t="shared" si="61"/>
        <v>53</v>
      </c>
      <c r="L356" s="223" t="str">
        <f t="shared" si="62"/>
        <v>1:53</v>
      </c>
      <c r="M356" s="225">
        <f t="shared" si="63"/>
        <v>7.8472222222222221E-2</v>
      </c>
      <c r="N356" s="194" t="s">
        <v>463</v>
      </c>
      <c r="O356" s="193" t="s">
        <v>350</v>
      </c>
      <c r="P356" s="194" t="s">
        <v>275</v>
      </c>
      <c r="Q356" s="194" t="s">
        <v>276</v>
      </c>
    </row>
    <row r="357" spans="1:17" s="195" customFormat="1">
      <c r="A357" s="13">
        <v>357</v>
      </c>
      <c r="B357" s="193" t="s">
        <v>1952</v>
      </c>
      <c r="C357" s="193" t="s">
        <v>1953</v>
      </c>
      <c r="D357" s="193" t="s">
        <v>1954</v>
      </c>
      <c r="E357" s="193" t="s">
        <v>1955</v>
      </c>
      <c r="F357" s="222">
        <f t="shared" si="56"/>
        <v>12</v>
      </c>
      <c r="G357" s="223" t="str">
        <f t="shared" si="57"/>
        <v>4</v>
      </c>
      <c r="H357" s="224">
        <f t="shared" si="58"/>
        <v>4</v>
      </c>
      <c r="I357" s="223" t="str">
        <f t="shared" si="59"/>
        <v>24 min.</v>
      </c>
      <c r="J357" s="223" t="str">
        <f t="shared" si="60"/>
        <v>24</v>
      </c>
      <c r="K357" s="224">
        <f t="shared" si="61"/>
        <v>24</v>
      </c>
      <c r="L357" s="223" t="str">
        <f t="shared" si="62"/>
        <v>4:24</v>
      </c>
      <c r="M357" s="225">
        <f t="shared" si="63"/>
        <v>0.18333333333333335</v>
      </c>
      <c r="N357" s="194" t="s">
        <v>1956</v>
      </c>
      <c r="O357" s="193" t="s">
        <v>286</v>
      </c>
      <c r="P357" s="194" t="s">
        <v>275</v>
      </c>
      <c r="Q357" s="194" t="s">
        <v>276</v>
      </c>
    </row>
    <row r="358" spans="1:17" s="195" customFormat="1">
      <c r="A358" s="13">
        <v>358</v>
      </c>
      <c r="B358" s="193" t="s">
        <v>1957</v>
      </c>
      <c r="C358" s="193" t="s">
        <v>1958</v>
      </c>
      <c r="D358" s="193" t="s">
        <v>1959</v>
      </c>
      <c r="E358" s="193" t="s">
        <v>879</v>
      </c>
      <c r="F358" s="222">
        <f t="shared" si="56"/>
        <v>12</v>
      </c>
      <c r="G358" s="223" t="str">
        <f t="shared" si="57"/>
        <v>4</v>
      </c>
      <c r="H358" s="224">
        <f t="shared" si="58"/>
        <v>4</v>
      </c>
      <c r="I358" s="223" t="str">
        <f t="shared" si="59"/>
        <v>55 min.</v>
      </c>
      <c r="J358" s="223" t="str">
        <f t="shared" si="60"/>
        <v>55</v>
      </c>
      <c r="K358" s="224">
        <f t="shared" si="61"/>
        <v>55</v>
      </c>
      <c r="L358" s="223" t="str">
        <f t="shared" si="62"/>
        <v>4:55</v>
      </c>
      <c r="M358" s="225">
        <f t="shared" si="63"/>
        <v>0.20486111111111113</v>
      </c>
      <c r="N358" s="194" t="s">
        <v>1960</v>
      </c>
      <c r="O358" s="193" t="s">
        <v>459</v>
      </c>
      <c r="P358" s="194" t="s">
        <v>275</v>
      </c>
      <c r="Q358" s="194" t="s">
        <v>276</v>
      </c>
    </row>
    <row r="359" spans="1:17" s="195" customFormat="1">
      <c r="A359" s="13">
        <v>359</v>
      </c>
      <c r="B359" s="193" t="s">
        <v>1961</v>
      </c>
      <c r="C359" s="193" t="s">
        <v>1962</v>
      </c>
      <c r="D359" s="193" t="s">
        <v>1963</v>
      </c>
      <c r="E359" s="193" t="s">
        <v>1964</v>
      </c>
      <c r="F359" s="222">
        <f t="shared" si="56"/>
        <v>13</v>
      </c>
      <c r="G359" s="223" t="str">
        <f t="shared" si="57"/>
        <v>14</v>
      </c>
      <c r="H359" s="224">
        <f t="shared" si="58"/>
        <v>14</v>
      </c>
      <c r="I359" s="223" t="str">
        <f t="shared" si="59"/>
        <v>55 min.</v>
      </c>
      <c r="J359" s="223" t="str">
        <f t="shared" si="60"/>
        <v>55</v>
      </c>
      <c r="K359" s="224">
        <f t="shared" si="61"/>
        <v>55</v>
      </c>
      <c r="L359" s="223" t="str">
        <f t="shared" si="62"/>
        <v>14:55</v>
      </c>
      <c r="M359" s="225">
        <f t="shared" si="63"/>
        <v>0.62152777777777779</v>
      </c>
      <c r="N359" s="194" t="s">
        <v>1965</v>
      </c>
      <c r="O359" s="193" t="s">
        <v>274</v>
      </c>
      <c r="P359" s="194" t="s">
        <v>275</v>
      </c>
      <c r="Q359" s="194" t="s">
        <v>276</v>
      </c>
    </row>
    <row r="360" spans="1:17" s="195" customFormat="1">
      <c r="A360" s="13">
        <v>360</v>
      </c>
      <c r="B360" s="193" t="s">
        <v>1977</v>
      </c>
      <c r="C360" s="193" t="s">
        <v>826</v>
      </c>
      <c r="D360" s="193" t="s">
        <v>1978</v>
      </c>
      <c r="E360" s="193" t="s">
        <v>1979</v>
      </c>
      <c r="F360" s="222">
        <f t="shared" si="56"/>
        <v>13</v>
      </c>
      <c r="G360" s="223" t="str">
        <f t="shared" si="57"/>
        <v>14</v>
      </c>
      <c r="H360" s="224">
        <f t="shared" si="58"/>
        <v>14</v>
      </c>
      <c r="I360" s="223" t="str">
        <f t="shared" si="59"/>
        <v>19 min.</v>
      </c>
      <c r="J360" s="223" t="str">
        <f t="shared" si="60"/>
        <v>19</v>
      </c>
      <c r="K360" s="224">
        <f t="shared" si="61"/>
        <v>19</v>
      </c>
      <c r="L360" s="223" t="str">
        <f t="shared" si="62"/>
        <v>14:19</v>
      </c>
      <c r="M360" s="225">
        <f t="shared" si="63"/>
        <v>0.59652777777777777</v>
      </c>
      <c r="N360" s="194" t="s">
        <v>828</v>
      </c>
      <c r="O360" s="193" t="s">
        <v>829</v>
      </c>
      <c r="P360" s="194" t="s">
        <v>275</v>
      </c>
      <c r="Q360" s="194" t="s">
        <v>276</v>
      </c>
    </row>
    <row r="361" spans="1:17" s="195" customFormat="1">
      <c r="A361" s="13">
        <v>361</v>
      </c>
      <c r="B361" s="193" t="s">
        <v>2172</v>
      </c>
      <c r="C361" s="193" t="s">
        <v>2173</v>
      </c>
      <c r="D361" s="193" t="s">
        <v>2174</v>
      </c>
      <c r="E361" s="193" t="s">
        <v>1390</v>
      </c>
      <c r="F361" s="222">
        <f t="shared" si="56"/>
        <v>12</v>
      </c>
      <c r="G361" s="223" t="str">
        <f t="shared" si="57"/>
        <v>8</v>
      </c>
      <c r="H361" s="224">
        <f t="shared" si="58"/>
        <v>8</v>
      </c>
      <c r="I361" s="223" t="str">
        <f t="shared" si="59"/>
        <v>15 min.</v>
      </c>
      <c r="J361" s="223" t="str">
        <f t="shared" si="60"/>
        <v>15</v>
      </c>
      <c r="K361" s="224">
        <f t="shared" si="61"/>
        <v>15</v>
      </c>
      <c r="L361" s="223" t="str">
        <f t="shared" si="62"/>
        <v>8:15</v>
      </c>
      <c r="M361" s="225">
        <f t="shared" si="63"/>
        <v>0.34375</v>
      </c>
      <c r="N361" s="194" t="s">
        <v>2175</v>
      </c>
      <c r="O361" s="193" t="s">
        <v>1568</v>
      </c>
      <c r="P361" s="194" t="s">
        <v>275</v>
      </c>
      <c r="Q361" s="194" t="s">
        <v>276</v>
      </c>
    </row>
    <row r="362" spans="1:17" s="195" customFormat="1">
      <c r="A362" s="13">
        <v>362</v>
      </c>
      <c r="B362" s="193" t="s">
        <v>2185</v>
      </c>
      <c r="C362" s="193" t="s">
        <v>2186</v>
      </c>
      <c r="D362" s="193" t="s">
        <v>2187</v>
      </c>
      <c r="E362" s="193" t="s">
        <v>2188</v>
      </c>
      <c r="F362" s="222">
        <f t="shared" si="56"/>
        <v>12</v>
      </c>
      <c r="G362" s="223" t="str">
        <f t="shared" si="57"/>
        <v>2</v>
      </c>
      <c r="H362" s="224">
        <f t="shared" si="58"/>
        <v>2</v>
      </c>
      <c r="I362" s="223" t="str">
        <f t="shared" si="59"/>
        <v>04 min.</v>
      </c>
      <c r="J362" s="223" t="str">
        <f t="shared" si="60"/>
        <v>04</v>
      </c>
      <c r="K362" s="224">
        <f t="shared" si="61"/>
        <v>4</v>
      </c>
      <c r="L362" s="223" t="str">
        <f t="shared" si="62"/>
        <v>2:4</v>
      </c>
      <c r="M362" s="225">
        <f t="shared" si="63"/>
        <v>8.6111111111111124E-2</v>
      </c>
      <c r="N362" s="194" t="s">
        <v>2189</v>
      </c>
      <c r="O362" s="193" t="s">
        <v>303</v>
      </c>
      <c r="P362" s="194" t="s">
        <v>275</v>
      </c>
      <c r="Q362" s="194" t="s">
        <v>276</v>
      </c>
    </row>
    <row r="363" spans="1:17" s="195" customFormat="1">
      <c r="A363" s="13">
        <v>363</v>
      </c>
      <c r="B363" s="193" t="s">
        <v>2190</v>
      </c>
      <c r="C363" s="193" t="s">
        <v>2191</v>
      </c>
      <c r="D363" s="193" t="s">
        <v>2192</v>
      </c>
      <c r="E363" s="193" t="s">
        <v>2193</v>
      </c>
      <c r="F363" s="222">
        <f t="shared" si="56"/>
        <v>12</v>
      </c>
      <c r="G363" s="223" t="str">
        <f t="shared" si="57"/>
        <v>2</v>
      </c>
      <c r="H363" s="224">
        <f t="shared" si="58"/>
        <v>2</v>
      </c>
      <c r="I363" s="223" t="str">
        <f t="shared" si="59"/>
        <v>06 min.</v>
      </c>
      <c r="J363" s="223" t="str">
        <f t="shared" si="60"/>
        <v>06</v>
      </c>
      <c r="K363" s="224">
        <f t="shared" si="61"/>
        <v>6</v>
      </c>
      <c r="L363" s="223" t="str">
        <f t="shared" si="62"/>
        <v>2:6</v>
      </c>
      <c r="M363" s="225">
        <f t="shared" si="63"/>
        <v>8.7500000000000008E-2</v>
      </c>
      <c r="N363" s="194" t="s">
        <v>2194</v>
      </c>
      <c r="O363" s="193" t="s">
        <v>303</v>
      </c>
      <c r="P363" s="194" t="s">
        <v>275</v>
      </c>
      <c r="Q363" s="194" t="s">
        <v>276</v>
      </c>
    </row>
    <row r="364" spans="1:17" s="195" customFormat="1">
      <c r="A364" s="13">
        <v>364</v>
      </c>
      <c r="B364" s="193" t="s">
        <v>2195</v>
      </c>
      <c r="C364" s="193" t="s">
        <v>2196</v>
      </c>
      <c r="D364" s="193" t="s">
        <v>2197</v>
      </c>
      <c r="E364" s="193" t="s">
        <v>897</v>
      </c>
      <c r="F364" s="222">
        <f t="shared" si="56"/>
        <v>12</v>
      </c>
      <c r="G364" s="223" t="str">
        <f t="shared" si="57"/>
        <v>7</v>
      </c>
      <c r="H364" s="224">
        <f t="shared" si="58"/>
        <v>7</v>
      </c>
      <c r="I364" s="223" t="str">
        <f t="shared" si="59"/>
        <v>39 min.</v>
      </c>
      <c r="J364" s="223" t="str">
        <f t="shared" si="60"/>
        <v>39</v>
      </c>
      <c r="K364" s="224">
        <f t="shared" si="61"/>
        <v>39</v>
      </c>
      <c r="L364" s="223" t="str">
        <f t="shared" si="62"/>
        <v>7:39</v>
      </c>
      <c r="M364" s="225">
        <f t="shared" si="63"/>
        <v>0.31875000000000003</v>
      </c>
      <c r="N364" s="194" t="s">
        <v>2198</v>
      </c>
      <c r="O364" s="193" t="s">
        <v>310</v>
      </c>
      <c r="P364" s="194" t="s">
        <v>275</v>
      </c>
      <c r="Q364" s="194" t="s">
        <v>276</v>
      </c>
    </row>
    <row r="365" spans="1:17" s="195" customFormat="1">
      <c r="A365" s="13">
        <v>365</v>
      </c>
      <c r="B365" s="193" t="s">
        <v>2203</v>
      </c>
      <c r="C365" s="193" t="s">
        <v>2204</v>
      </c>
      <c r="D365" s="193" t="s">
        <v>2205</v>
      </c>
      <c r="E365" s="193" t="s">
        <v>2206</v>
      </c>
      <c r="F365" s="222">
        <f t="shared" ref="F365:F387" si="64">LEN(E365)</f>
        <v>13</v>
      </c>
      <c r="G365" s="223" t="str">
        <f t="shared" ref="G365:G387" si="65">IF(F365=12,LEFT(E365,1),LEFT(E365,2))</f>
        <v>23</v>
      </c>
      <c r="H365" s="224">
        <f t="shared" ref="H365:H387" si="66">VALUE(G365)</f>
        <v>23</v>
      </c>
      <c r="I365" s="223" t="str">
        <f t="shared" ref="I365:I387" si="67">RIGHT(E365,7)</f>
        <v>53 min.</v>
      </c>
      <c r="J365" s="223" t="str">
        <f t="shared" ref="J365:J387" si="68">LEFT(I365,2)</f>
        <v>53</v>
      </c>
      <c r="K365" s="224">
        <f t="shared" ref="K365:K387" si="69">VALUE(J365)</f>
        <v>53</v>
      </c>
      <c r="L365" s="223" t="str">
        <f t="shared" ref="L365:L387" si="70">H365&amp;":"&amp;K365</f>
        <v>23:53</v>
      </c>
      <c r="M365" s="225">
        <f t="shared" ref="M365:M387" si="71">VALUE(L365)</f>
        <v>0.99513888888888891</v>
      </c>
      <c r="N365" s="194" t="s">
        <v>2207</v>
      </c>
      <c r="O365" s="193" t="s">
        <v>274</v>
      </c>
      <c r="P365" s="194" t="s">
        <v>275</v>
      </c>
      <c r="Q365" s="194" t="s">
        <v>276</v>
      </c>
    </row>
    <row r="366" spans="1:17" s="195" customFormat="1">
      <c r="A366" s="13">
        <v>366</v>
      </c>
      <c r="B366" s="193" t="s">
        <v>2211</v>
      </c>
      <c r="C366" s="193" t="s">
        <v>1949</v>
      </c>
      <c r="D366" s="193" t="s">
        <v>2212</v>
      </c>
      <c r="E366" s="193" t="s">
        <v>972</v>
      </c>
      <c r="F366" s="222">
        <f t="shared" si="64"/>
        <v>12</v>
      </c>
      <c r="G366" s="223" t="str">
        <f t="shared" si="65"/>
        <v>3</v>
      </c>
      <c r="H366" s="224">
        <f t="shared" si="66"/>
        <v>3</v>
      </c>
      <c r="I366" s="223" t="str">
        <f t="shared" si="67"/>
        <v>19 min.</v>
      </c>
      <c r="J366" s="223" t="str">
        <f t="shared" si="68"/>
        <v>19</v>
      </c>
      <c r="K366" s="224">
        <f t="shared" si="69"/>
        <v>19</v>
      </c>
      <c r="L366" s="223" t="str">
        <f t="shared" si="70"/>
        <v>3:19</v>
      </c>
      <c r="M366" s="225">
        <f t="shared" si="71"/>
        <v>0.13819444444444443</v>
      </c>
      <c r="N366" s="194" t="s">
        <v>2213</v>
      </c>
      <c r="O366" s="193" t="s">
        <v>303</v>
      </c>
      <c r="P366" s="194" t="s">
        <v>275</v>
      </c>
      <c r="Q366" s="194" t="s">
        <v>276</v>
      </c>
    </row>
    <row r="367" spans="1:17" s="195" customFormat="1">
      <c r="A367" s="13">
        <v>367</v>
      </c>
      <c r="B367" s="193" t="s">
        <v>2217</v>
      </c>
      <c r="C367" s="193" t="s">
        <v>2218</v>
      </c>
      <c r="D367" s="193" t="s">
        <v>2219</v>
      </c>
      <c r="E367" s="193" t="s">
        <v>2220</v>
      </c>
      <c r="F367" s="222">
        <f t="shared" si="64"/>
        <v>13</v>
      </c>
      <c r="G367" s="223" t="str">
        <f t="shared" si="65"/>
        <v>16</v>
      </c>
      <c r="H367" s="224">
        <f t="shared" si="66"/>
        <v>16</v>
      </c>
      <c r="I367" s="223" t="str">
        <f t="shared" si="67"/>
        <v>18 min.</v>
      </c>
      <c r="J367" s="223" t="str">
        <f t="shared" si="68"/>
        <v>18</v>
      </c>
      <c r="K367" s="224">
        <f t="shared" si="69"/>
        <v>18</v>
      </c>
      <c r="L367" s="223" t="str">
        <f t="shared" si="70"/>
        <v>16:18</v>
      </c>
      <c r="M367" s="225">
        <f t="shared" si="71"/>
        <v>0.6791666666666667</v>
      </c>
      <c r="N367" s="194" t="s">
        <v>2221</v>
      </c>
      <c r="O367" s="193" t="s">
        <v>459</v>
      </c>
      <c r="P367" s="194" t="s">
        <v>275</v>
      </c>
      <c r="Q367" s="194" t="s">
        <v>276</v>
      </c>
    </row>
    <row r="368" spans="1:17" s="195" customFormat="1">
      <c r="A368" s="13">
        <v>368</v>
      </c>
      <c r="B368" s="193" t="s">
        <v>2222</v>
      </c>
      <c r="C368" s="193" t="s">
        <v>2223</v>
      </c>
      <c r="D368" s="193" t="s">
        <v>2224</v>
      </c>
      <c r="E368" s="193" t="s">
        <v>2225</v>
      </c>
      <c r="F368" s="222">
        <f t="shared" si="64"/>
        <v>12</v>
      </c>
      <c r="G368" s="223" t="str">
        <f t="shared" si="65"/>
        <v>4</v>
      </c>
      <c r="H368" s="224">
        <f t="shared" si="66"/>
        <v>4</v>
      </c>
      <c r="I368" s="223" t="str">
        <f t="shared" si="67"/>
        <v>53 min.</v>
      </c>
      <c r="J368" s="223" t="str">
        <f t="shared" si="68"/>
        <v>53</v>
      </c>
      <c r="K368" s="224">
        <f t="shared" si="69"/>
        <v>53</v>
      </c>
      <c r="L368" s="223" t="str">
        <f t="shared" si="70"/>
        <v>4:53</v>
      </c>
      <c r="M368" s="225">
        <f t="shared" si="71"/>
        <v>0.20347222222222219</v>
      </c>
      <c r="N368" s="194" t="s">
        <v>1520</v>
      </c>
      <c r="O368" s="193" t="s">
        <v>303</v>
      </c>
      <c r="P368" s="194" t="s">
        <v>275</v>
      </c>
      <c r="Q368" s="194" t="s">
        <v>276</v>
      </c>
    </row>
    <row r="369" spans="1:17" s="195" customFormat="1">
      <c r="A369" s="13">
        <v>369</v>
      </c>
      <c r="B369" s="193" t="s">
        <v>2226</v>
      </c>
      <c r="C369" s="193" t="s">
        <v>2227</v>
      </c>
      <c r="D369" s="193" t="s">
        <v>2228</v>
      </c>
      <c r="E369" s="193" t="s">
        <v>2229</v>
      </c>
      <c r="F369" s="222">
        <f t="shared" si="64"/>
        <v>13</v>
      </c>
      <c r="G369" s="223" t="str">
        <f t="shared" si="65"/>
        <v>18</v>
      </c>
      <c r="H369" s="224">
        <f t="shared" si="66"/>
        <v>18</v>
      </c>
      <c r="I369" s="223" t="str">
        <f t="shared" si="67"/>
        <v>30 min.</v>
      </c>
      <c r="J369" s="223" t="str">
        <f t="shared" si="68"/>
        <v>30</v>
      </c>
      <c r="K369" s="224">
        <f t="shared" si="69"/>
        <v>30</v>
      </c>
      <c r="L369" s="223" t="str">
        <f t="shared" si="70"/>
        <v>18:30</v>
      </c>
      <c r="M369" s="225">
        <f t="shared" si="71"/>
        <v>0.77083333333333337</v>
      </c>
      <c r="N369" s="194" t="s">
        <v>2230</v>
      </c>
      <c r="O369" s="193" t="s">
        <v>303</v>
      </c>
      <c r="P369" s="194" t="s">
        <v>275</v>
      </c>
      <c r="Q369" s="194" t="s">
        <v>276</v>
      </c>
    </row>
    <row r="370" spans="1:17" s="195" customFormat="1">
      <c r="A370" s="13">
        <v>370</v>
      </c>
      <c r="B370" s="193" t="s">
        <v>2231</v>
      </c>
      <c r="C370" s="193" t="s">
        <v>2232</v>
      </c>
      <c r="D370" s="193" t="s">
        <v>2233</v>
      </c>
      <c r="E370" s="193" t="s">
        <v>2234</v>
      </c>
      <c r="F370" s="222">
        <f t="shared" si="64"/>
        <v>13</v>
      </c>
      <c r="G370" s="223" t="str">
        <f t="shared" si="65"/>
        <v>14</v>
      </c>
      <c r="H370" s="224">
        <f t="shared" si="66"/>
        <v>14</v>
      </c>
      <c r="I370" s="223" t="str">
        <f t="shared" si="67"/>
        <v>45 min.</v>
      </c>
      <c r="J370" s="223" t="str">
        <f t="shared" si="68"/>
        <v>45</v>
      </c>
      <c r="K370" s="224">
        <f t="shared" si="69"/>
        <v>45</v>
      </c>
      <c r="L370" s="223" t="str">
        <f t="shared" si="70"/>
        <v>14:45</v>
      </c>
      <c r="M370" s="225">
        <f t="shared" si="71"/>
        <v>0.61458333333333337</v>
      </c>
      <c r="N370" s="194" t="s">
        <v>1449</v>
      </c>
      <c r="O370" s="193" t="s">
        <v>303</v>
      </c>
      <c r="P370" s="194" t="s">
        <v>275</v>
      </c>
      <c r="Q370" s="194" t="s">
        <v>276</v>
      </c>
    </row>
    <row r="371" spans="1:17" s="195" customFormat="1">
      <c r="A371" s="13">
        <v>371</v>
      </c>
      <c r="B371" s="193" t="s">
        <v>2235</v>
      </c>
      <c r="C371" s="193" t="s">
        <v>2236</v>
      </c>
      <c r="D371" s="193" t="s">
        <v>2237</v>
      </c>
      <c r="E371" s="193" t="s">
        <v>2238</v>
      </c>
      <c r="F371" s="222">
        <f t="shared" si="64"/>
        <v>13</v>
      </c>
      <c r="G371" s="223" t="str">
        <f t="shared" si="65"/>
        <v>12</v>
      </c>
      <c r="H371" s="224">
        <f t="shared" si="66"/>
        <v>12</v>
      </c>
      <c r="I371" s="223" t="str">
        <f t="shared" si="67"/>
        <v>39 min.</v>
      </c>
      <c r="J371" s="223" t="str">
        <f t="shared" si="68"/>
        <v>39</v>
      </c>
      <c r="K371" s="224">
        <f t="shared" si="69"/>
        <v>39</v>
      </c>
      <c r="L371" s="223" t="str">
        <f t="shared" si="70"/>
        <v>12:39</v>
      </c>
      <c r="M371" s="225">
        <f t="shared" si="71"/>
        <v>0.52708333333333335</v>
      </c>
      <c r="N371" s="194" t="s">
        <v>1391</v>
      </c>
      <c r="O371" s="193" t="s">
        <v>274</v>
      </c>
      <c r="P371" s="194" t="s">
        <v>275</v>
      </c>
      <c r="Q371" s="194" t="s">
        <v>276</v>
      </c>
    </row>
    <row r="372" spans="1:17" s="195" customFormat="1">
      <c r="A372" s="13">
        <v>372</v>
      </c>
      <c r="B372" s="193" t="s">
        <v>2246</v>
      </c>
      <c r="C372" s="193" t="s">
        <v>2247</v>
      </c>
      <c r="D372" s="193" t="s">
        <v>2248</v>
      </c>
      <c r="E372" s="193" t="s">
        <v>2249</v>
      </c>
      <c r="F372" s="222">
        <f t="shared" si="64"/>
        <v>12</v>
      </c>
      <c r="G372" s="223" t="str">
        <f t="shared" si="65"/>
        <v>6</v>
      </c>
      <c r="H372" s="224">
        <f t="shared" si="66"/>
        <v>6</v>
      </c>
      <c r="I372" s="223" t="str">
        <f t="shared" si="67"/>
        <v>01 min.</v>
      </c>
      <c r="J372" s="223" t="str">
        <f t="shared" si="68"/>
        <v>01</v>
      </c>
      <c r="K372" s="224">
        <f t="shared" si="69"/>
        <v>1</v>
      </c>
      <c r="L372" s="223" t="str">
        <f t="shared" si="70"/>
        <v>6:1</v>
      </c>
      <c r="M372" s="225">
        <f t="shared" si="71"/>
        <v>0.25069444444444444</v>
      </c>
      <c r="N372" s="194" t="s">
        <v>2250</v>
      </c>
      <c r="O372" s="193" t="s">
        <v>274</v>
      </c>
      <c r="P372" s="194" t="s">
        <v>275</v>
      </c>
      <c r="Q372" s="194" t="s">
        <v>276</v>
      </c>
    </row>
    <row r="373" spans="1:17" s="195" customFormat="1">
      <c r="A373" s="13">
        <v>373</v>
      </c>
      <c r="B373" s="193" t="s">
        <v>2251</v>
      </c>
      <c r="C373" s="193" t="s">
        <v>2247</v>
      </c>
      <c r="D373" s="193" t="s">
        <v>2252</v>
      </c>
      <c r="E373" s="193" t="s">
        <v>2253</v>
      </c>
      <c r="F373" s="222">
        <f t="shared" si="64"/>
        <v>12</v>
      </c>
      <c r="G373" s="223" t="str">
        <f t="shared" si="65"/>
        <v>4</v>
      </c>
      <c r="H373" s="224">
        <f t="shared" si="66"/>
        <v>4</v>
      </c>
      <c r="I373" s="223" t="str">
        <f t="shared" si="67"/>
        <v>51 min.</v>
      </c>
      <c r="J373" s="223" t="str">
        <f t="shared" si="68"/>
        <v>51</v>
      </c>
      <c r="K373" s="224">
        <f t="shared" si="69"/>
        <v>51</v>
      </c>
      <c r="L373" s="223" t="str">
        <f t="shared" si="70"/>
        <v>4:51</v>
      </c>
      <c r="M373" s="225">
        <f t="shared" si="71"/>
        <v>0.20208333333333331</v>
      </c>
      <c r="N373" s="194" t="s">
        <v>2250</v>
      </c>
      <c r="O373" s="193" t="s">
        <v>274</v>
      </c>
      <c r="P373" s="194" t="s">
        <v>275</v>
      </c>
      <c r="Q373" s="194" t="s">
        <v>276</v>
      </c>
    </row>
    <row r="374" spans="1:17" s="195" customFormat="1">
      <c r="A374" s="13">
        <v>374</v>
      </c>
      <c r="B374" s="193" t="s">
        <v>2258</v>
      </c>
      <c r="C374" s="193" t="s">
        <v>2259</v>
      </c>
      <c r="D374" s="193" t="s">
        <v>2260</v>
      </c>
      <c r="E374" s="193" t="s">
        <v>2261</v>
      </c>
      <c r="F374" s="222">
        <f t="shared" si="64"/>
        <v>12</v>
      </c>
      <c r="G374" s="223" t="str">
        <f t="shared" si="65"/>
        <v>2</v>
      </c>
      <c r="H374" s="224">
        <f t="shared" si="66"/>
        <v>2</v>
      </c>
      <c r="I374" s="223" t="str">
        <f t="shared" si="67"/>
        <v>07 min.</v>
      </c>
      <c r="J374" s="223" t="str">
        <f t="shared" si="68"/>
        <v>07</v>
      </c>
      <c r="K374" s="224">
        <f t="shared" si="69"/>
        <v>7</v>
      </c>
      <c r="L374" s="223" t="str">
        <f t="shared" si="70"/>
        <v>2:7</v>
      </c>
      <c r="M374" s="225">
        <f t="shared" si="71"/>
        <v>8.819444444444445E-2</v>
      </c>
      <c r="N374" s="194" t="s">
        <v>2262</v>
      </c>
      <c r="O374" s="193" t="s">
        <v>843</v>
      </c>
      <c r="P374" s="194" t="s">
        <v>275</v>
      </c>
      <c r="Q374" s="194" t="s">
        <v>276</v>
      </c>
    </row>
    <row r="375" spans="1:17" s="195" customFormat="1">
      <c r="A375" s="13">
        <v>375</v>
      </c>
      <c r="B375" s="193" t="s">
        <v>2267</v>
      </c>
      <c r="C375" s="193" t="s">
        <v>802</v>
      </c>
      <c r="D375" s="193" t="s">
        <v>2268</v>
      </c>
      <c r="E375" s="193" t="s">
        <v>2269</v>
      </c>
      <c r="F375" s="222">
        <f t="shared" si="64"/>
        <v>13</v>
      </c>
      <c r="G375" s="223" t="str">
        <f t="shared" si="65"/>
        <v>16</v>
      </c>
      <c r="H375" s="224">
        <f t="shared" si="66"/>
        <v>16</v>
      </c>
      <c r="I375" s="223" t="str">
        <f t="shared" si="67"/>
        <v>28 min.</v>
      </c>
      <c r="J375" s="223" t="str">
        <f t="shared" si="68"/>
        <v>28</v>
      </c>
      <c r="K375" s="224">
        <f t="shared" si="69"/>
        <v>28</v>
      </c>
      <c r="L375" s="223" t="str">
        <f t="shared" si="70"/>
        <v>16:28</v>
      </c>
      <c r="M375" s="225">
        <f t="shared" si="71"/>
        <v>0.68611111111111101</v>
      </c>
      <c r="N375" s="194" t="s">
        <v>786</v>
      </c>
      <c r="O375" s="193" t="s">
        <v>274</v>
      </c>
      <c r="P375" s="194" t="s">
        <v>275</v>
      </c>
      <c r="Q375" s="194" t="s">
        <v>276</v>
      </c>
    </row>
    <row r="376" spans="1:17" s="195" customFormat="1">
      <c r="A376" s="13">
        <v>376</v>
      </c>
      <c r="B376" s="193" t="s">
        <v>2276</v>
      </c>
      <c r="C376" s="193" t="s">
        <v>2277</v>
      </c>
      <c r="D376" s="193" t="s">
        <v>2278</v>
      </c>
      <c r="E376" s="193" t="s">
        <v>2279</v>
      </c>
      <c r="F376" s="222">
        <f t="shared" si="64"/>
        <v>12</v>
      </c>
      <c r="G376" s="223" t="str">
        <f t="shared" si="65"/>
        <v>8</v>
      </c>
      <c r="H376" s="224">
        <f t="shared" si="66"/>
        <v>8</v>
      </c>
      <c r="I376" s="223" t="str">
        <f t="shared" si="67"/>
        <v>32 min.</v>
      </c>
      <c r="J376" s="223" t="str">
        <f t="shared" si="68"/>
        <v>32</v>
      </c>
      <c r="K376" s="224">
        <f t="shared" si="69"/>
        <v>32</v>
      </c>
      <c r="L376" s="223" t="str">
        <f t="shared" si="70"/>
        <v>8:32</v>
      </c>
      <c r="M376" s="225">
        <f t="shared" si="71"/>
        <v>0.35555555555555557</v>
      </c>
      <c r="N376" s="194" t="s">
        <v>2198</v>
      </c>
      <c r="O376" s="193" t="s">
        <v>303</v>
      </c>
      <c r="P376" s="194" t="s">
        <v>275</v>
      </c>
      <c r="Q376" s="194" t="s">
        <v>276</v>
      </c>
    </row>
    <row r="377" spans="1:17" s="195" customFormat="1">
      <c r="A377" s="13">
        <v>377</v>
      </c>
      <c r="B377" s="193" t="s">
        <v>2284</v>
      </c>
      <c r="C377" s="193" t="s">
        <v>2247</v>
      </c>
      <c r="D377" s="193" t="s">
        <v>2285</v>
      </c>
      <c r="E377" s="193" t="s">
        <v>1816</v>
      </c>
      <c r="F377" s="222">
        <f t="shared" si="64"/>
        <v>12</v>
      </c>
      <c r="G377" s="223" t="str">
        <f t="shared" si="65"/>
        <v>4</v>
      </c>
      <c r="H377" s="224">
        <f t="shared" si="66"/>
        <v>4</v>
      </c>
      <c r="I377" s="223" t="str">
        <f t="shared" si="67"/>
        <v>44 min.</v>
      </c>
      <c r="J377" s="223" t="str">
        <f t="shared" si="68"/>
        <v>44</v>
      </c>
      <c r="K377" s="224">
        <f t="shared" si="69"/>
        <v>44</v>
      </c>
      <c r="L377" s="223" t="str">
        <f t="shared" si="70"/>
        <v>4:44</v>
      </c>
      <c r="M377" s="225">
        <f t="shared" si="71"/>
        <v>0.19722222222222222</v>
      </c>
      <c r="N377" s="194" t="s">
        <v>2250</v>
      </c>
      <c r="O377" s="193" t="s">
        <v>274</v>
      </c>
      <c r="P377" s="194" t="s">
        <v>275</v>
      </c>
      <c r="Q377" s="194" t="s">
        <v>276</v>
      </c>
    </row>
    <row r="378" spans="1:17" s="195" customFormat="1">
      <c r="A378" s="13">
        <v>378</v>
      </c>
      <c r="B378" s="193" t="s">
        <v>2292</v>
      </c>
      <c r="C378" s="193" t="s">
        <v>2293</v>
      </c>
      <c r="D378" s="193" t="s">
        <v>2294</v>
      </c>
      <c r="E378" s="193" t="s">
        <v>2295</v>
      </c>
      <c r="F378" s="222">
        <f t="shared" si="64"/>
        <v>12</v>
      </c>
      <c r="G378" s="223" t="str">
        <f t="shared" si="65"/>
        <v>7</v>
      </c>
      <c r="H378" s="224">
        <f t="shared" si="66"/>
        <v>7</v>
      </c>
      <c r="I378" s="223" t="str">
        <f t="shared" si="67"/>
        <v>51 min.</v>
      </c>
      <c r="J378" s="223" t="str">
        <f t="shared" si="68"/>
        <v>51</v>
      </c>
      <c r="K378" s="224">
        <f t="shared" si="69"/>
        <v>51</v>
      </c>
      <c r="L378" s="223" t="str">
        <f t="shared" si="70"/>
        <v>7:51</v>
      </c>
      <c r="M378" s="225">
        <f t="shared" si="71"/>
        <v>0.32708333333333334</v>
      </c>
      <c r="N378" s="194" t="s">
        <v>463</v>
      </c>
      <c r="O378" s="193" t="s">
        <v>2296</v>
      </c>
      <c r="P378" s="194" t="s">
        <v>275</v>
      </c>
      <c r="Q378" s="194" t="s">
        <v>276</v>
      </c>
    </row>
    <row r="379" spans="1:17" s="195" customFormat="1">
      <c r="A379" s="13">
        <v>379</v>
      </c>
      <c r="B379" s="193" t="s">
        <v>2297</v>
      </c>
      <c r="C379" s="193" t="s">
        <v>2298</v>
      </c>
      <c r="D379" s="193" t="s">
        <v>2299</v>
      </c>
      <c r="E379" s="193" t="s">
        <v>2300</v>
      </c>
      <c r="F379" s="222">
        <f t="shared" si="64"/>
        <v>13</v>
      </c>
      <c r="G379" s="223" t="str">
        <f t="shared" si="65"/>
        <v>11</v>
      </c>
      <c r="H379" s="224">
        <f t="shared" si="66"/>
        <v>11</v>
      </c>
      <c r="I379" s="223" t="str">
        <f t="shared" si="67"/>
        <v>42 min.</v>
      </c>
      <c r="J379" s="223" t="str">
        <f t="shared" si="68"/>
        <v>42</v>
      </c>
      <c r="K379" s="224">
        <f t="shared" si="69"/>
        <v>42</v>
      </c>
      <c r="L379" s="223" t="str">
        <f t="shared" si="70"/>
        <v>11:42</v>
      </c>
      <c r="M379" s="225">
        <f t="shared" si="71"/>
        <v>0.48749999999999999</v>
      </c>
      <c r="N379" s="194" t="s">
        <v>2301</v>
      </c>
      <c r="O379" s="193" t="s">
        <v>439</v>
      </c>
      <c r="P379" s="194" t="s">
        <v>275</v>
      </c>
      <c r="Q379" s="194" t="s">
        <v>276</v>
      </c>
    </row>
    <row r="380" spans="1:17" s="195" customFormat="1">
      <c r="A380" s="13">
        <v>380</v>
      </c>
      <c r="B380" s="193" t="s">
        <v>2317</v>
      </c>
      <c r="C380" s="193" t="s">
        <v>2318</v>
      </c>
      <c r="D380" s="193" t="s">
        <v>2319</v>
      </c>
      <c r="E380" s="193" t="s">
        <v>2320</v>
      </c>
      <c r="F380" s="222">
        <f t="shared" si="64"/>
        <v>12</v>
      </c>
      <c r="G380" s="223" t="str">
        <f t="shared" si="65"/>
        <v>6</v>
      </c>
      <c r="H380" s="224">
        <f t="shared" si="66"/>
        <v>6</v>
      </c>
      <c r="I380" s="223" t="str">
        <f t="shared" si="67"/>
        <v>17 min.</v>
      </c>
      <c r="J380" s="223" t="str">
        <f t="shared" si="68"/>
        <v>17</v>
      </c>
      <c r="K380" s="224">
        <f t="shared" si="69"/>
        <v>17</v>
      </c>
      <c r="L380" s="223" t="str">
        <f t="shared" si="70"/>
        <v>6:17</v>
      </c>
      <c r="M380" s="225">
        <f t="shared" si="71"/>
        <v>0.26180555555555557</v>
      </c>
      <c r="N380" s="194" t="s">
        <v>2321</v>
      </c>
      <c r="O380" s="193" t="s">
        <v>303</v>
      </c>
      <c r="P380" s="194" t="s">
        <v>275</v>
      </c>
      <c r="Q380" s="194" t="s">
        <v>276</v>
      </c>
    </row>
    <row r="381" spans="1:17" s="195" customFormat="1">
      <c r="A381" s="13">
        <v>381</v>
      </c>
      <c r="B381" s="193" t="s">
        <v>2322</v>
      </c>
      <c r="C381" s="193" t="s">
        <v>2323</v>
      </c>
      <c r="D381" s="193" t="s">
        <v>2324</v>
      </c>
      <c r="E381" s="193" t="s">
        <v>1407</v>
      </c>
      <c r="F381" s="222">
        <f t="shared" si="64"/>
        <v>12</v>
      </c>
      <c r="G381" s="223" t="str">
        <f t="shared" si="65"/>
        <v>7</v>
      </c>
      <c r="H381" s="224">
        <f t="shared" si="66"/>
        <v>7</v>
      </c>
      <c r="I381" s="223" t="str">
        <f t="shared" si="67"/>
        <v>19 min.</v>
      </c>
      <c r="J381" s="223" t="str">
        <f t="shared" si="68"/>
        <v>19</v>
      </c>
      <c r="K381" s="224">
        <f t="shared" si="69"/>
        <v>19</v>
      </c>
      <c r="L381" s="223" t="str">
        <f t="shared" si="70"/>
        <v>7:19</v>
      </c>
      <c r="M381" s="225">
        <f t="shared" si="71"/>
        <v>0.30486111111111108</v>
      </c>
      <c r="N381" s="194" t="s">
        <v>2325</v>
      </c>
      <c r="O381" s="193" t="s">
        <v>274</v>
      </c>
      <c r="P381" s="194" t="s">
        <v>275</v>
      </c>
      <c r="Q381" s="194" t="s">
        <v>276</v>
      </c>
    </row>
    <row r="382" spans="1:17" s="195" customFormat="1">
      <c r="A382" s="13">
        <v>382</v>
      </c>
      <c r="B382" s="193" t="s">
        <v>2330</v>
      </c>
      <c r="C382" s="193" t="s">
        <v>2331</v>
      </c>
      <c r="D382" s="193" t="s">
        <v>2332</v>
      </c>
      <c r="E382" s="193" t="s">
        <v>2333</v>
      </c>
      <c r="F382" s="222">
        <f t="shared" si="64"/>
        <v>13</v>
      </c>
      <c r="G382" s="223" t="str">
        <f t="shared" si="65"/>
        <v>16</v>
      </c>
      <c r="H382" s="224">
        <f t="shared" si="66"/>
        <v>16</v>
      </c>
      <c r="I382" s="223" t="str">
        <f t="shared" si="67"/>
        <v>12 min.</v>
      </c>
      <c r="J382" s="223" t="str">
        <f t="shared" si="68"/>
        <v>12</v>
      </c>
      <c r="K382" s="224">
        <f t="shared" si="69"/>
        <v>12</v>
      </c>
      <c r="L382" s="223" t="str">
        <f t="shared" si="70"/>
        <v>16:12</v>
      </c>
      <c r="M382" s="225">
        <f t="shared" si="71"/>
        <v>0.67499999999999993</v>
      </c>
      <c r="N382" s="194" t="s">
        <v>2334</v>
      </c>
      <c r="O382" s="193" t="s">
        <v>274</v>
      </c>
      <c r="P382" s="194" t="s">
        <v>275</v>
      </c>
      <c r="Q382" s="194" t="s">
        <v>276</v>
      </c>
    </row>
    <row r="383" spans="1:17" s="195" customFormat="1">
      <c r="A383" s="13">
        <v>383</v>
      </c>
      <c r="B383" s="193" t="s">
        <v>2335</v>
      </c>
      <c r="C383" s="193" t="s">
        <v>714</v>
      </c>
      <c r="D383" s="193" t="s">
        <v>2336</v>
      </c>
      <c r="E383" s="193" t="s">
        <v>2337</v>
      </c>
      <c r="F383" s="222">
        <f t="shared" si="64"/>
        <v>13</v>
      </c>
      <c r="G383" s="223" t="str">
        <f t="shared" si="65"/>
        <v>17</v>
      </c>
      <c r="H383" s="224">
        <f t="shared" si="66"/>
        <v>17</v>
      </c>
      <c r="I383" s="223" t="str">
        <f t="shared" si="67"/>
        <v>09 min.</v>
      </c>
      <c r="J383" s="223" t="str">
        <f t="shared" si="68"/>
        <v>09</v>
      </c>
      <c r="K383" s="224">
        <f t="shared" si="69"/>
        <v>9</v>
      </c>
      <c r="L383" s="223" t="str">
        <f t="shared" si="70"/>
        <v>17:9</v>
      </c>
      <c r="M383" s="225">
        <f t="shared" si="71"/>
        <v>0.71458333333333324</v>
      </c>
      <c r="N383" s="194" t="s">
        <v>280</v>
      </c>
      <c r="O383" s="193" t="s">
        <v>274</v>
      </c>
      <c r="P383" s="194" t="s">
        <v>275</v>
      </c>
      <c r="Q383" s="194" t="s">
        <v>276</v>
      </c>
    </row>
    <row r="384" spans="1:17" s="195" customFormat="1">
      <c r="A384" s="13">
        <v>384</v>
      </c>
      <c r="B384" s="193" t="s">
        <v>2362</v>
      </c>
      <c r="C384" s="193" t="s">
        <v>1583</v>
      </c>
      <c r="D384" s="193" t="s">
        <v>2363</v>
      </c>
      <c r="E384" s="193" t="s">
        <v>2364</v>
      </c>
      <c r="F384" s="222">
        <f t="shared" si="64"/>
        <v>13</v>
      </c>
      <c r="G384" s="223" t="str">
        <f t="shared" si="65"/>
        <v>16</v>
      </c>
      <c r="H384" s="224">
        <f t="shared" si="66"/>
        <v>16</v>
      </c>
      <c r="I384" s="223" t="str">
        <f t="shared" si="67"/>
        <v>32 min.</v>
      </c>
      <c r="J384" s="223" t="str">
        <f t="shared" si="68"/>
        <v>32</v>
      </c>
      <c r="K384" s="224">
        <f t="shared" si="69"/>
        <v>32</v>
      </c>
      <c r="L384" s="223" t="str">
        <f t="shared" si="70"/>
        <v>16:32</v>
      </c>
      <c r="M384" s="225">
        <f t="shared" si="71"/>
        <v>0.68888888888888899</v>
      </c>
      <c r="N384" s="194" t="s">
        <v>2365</v>
      </c>
      <c r="O384" s="193" t="s">
        <v>303</v>
      </c>
      <c r="P384" s="194" t="s">
        <v>275</v>
      </c>
      <c r="Q384" s="194" t="s">
        <v>276</v>
      </c>
    </row>
    <row r="385" spans="1:17" s="195" customFormat="1">
      <c r="A385" s="13">
        <v>385</v>
      </c>
      <c r="B385" s="193" t="s">
        <v>2430</v>
      </c>
      <c r="C385" s="193" t="s">
        <v>2431</v>
      </c>
      <c r="D385" s="193" t="s">
        <v>2432</v>
      </c>
      <c r="E385" s="193" t="s">
        <v>945</v>
      </c>
      <c r="F385" s="222">
        <f t="shared" si="64"/>
        <v>13</v>
      </c>
      <c r="G385" s="223" t="str">
        <f t="shared" si="65"/>
        <v>16</v>
      </c>
      <c r="H385" s="224">
        <f t="shared" si="66"/>
        <v>16</v>
      </c>
      <c r="I385" s="223" t="str">
        <f t="shared" si="67"/>
        <v>20 min.</v>
      </c>
      <c r="J385" s="223" t="str">
        <f t="shared" si="68"/>
        <v>20</v>
      </c>
      <c r="K385" s="224">
        <f t="shared" si="69"/>
        <v>20</v>
      </c>
      <c r="L385" s="223" t="str">
        <f t="shared" si="70"/>
        <v>16:20</v>
      </c>
      <c r="M385" s="225">
        <f t="shared" si="71"/>
        <v>0.68055555555555547</v>
      </c>
      <c r="N385" s="194" t="s">
        <v>2433</v>
      </c>
      <c r="O385" s="193" t="s">
        <v>274</v>
      </c>
      <c r="P385" s="194" t="s">
        <v>275</v>
      </c>
      <c r="Q385" s="194" t="s">
        <v>276</v>
      </c>
    </row>
    <row r="386" spans="1:17" s="195" customFormat="1">
      <c r="A386" s="13">
        <v>386</v>
      </c>
      <c r="B386" s="193" t="s">
        <v>2521</v>
      </c>
      <c r="C386" s="193" t="s">
        <v>2522</v>
      </c>
      <c r="D386" s="193" t="s">
        <v>2523</v>
      </c>
      <c r="E386" s="193" t="s">
        <v>653</v>
      </c>
      <c r="F386" s="222">
        <f t="shared" si="64"/>
        <v>12</v>
      </c>
      <c r="G386" s="223" t="str">
        <f t="shared" si="65"/>
        <v>2</v>
      </c>
      <c r="H386" s="224">
        <f t="shared" si="66"/>
        <v>2</v>
      </c>
      <c r="I386" s="223" t="str">
        <f t="shared" si="67"/>
        <v>30 min.</v>
      </c>
      <c r="J386" s="223" t="str">
        <f t="shared" si="68"/>
        <v>30</v>
      </c>
      <c r="K386" s="224">
        <f t="shared" si="69"/>
        <v>30</v>
      </c>
      <c r="L386" s="223" t="str">
        <f t="shared" si="70"/>
        <v>2:30</v>
      </c>
      <c r="M386" s="225">
        <f t="shared" si="71"/>
        <v>0.10416666666666667</v>
      </c>
      <c r="N386" s="194" t="s">
        <v>2524</v>
      </c>
      <c r="O386" s="193" t="s">
        <v>350</v>
      </c>
      <c r="P386" s="194" t="s">
        <v>275</v>
      </c>
      <c r="Q386" s="194" t="s">
        <v>276</v>
      </c>
    </row>
    <row r="387" spans="1:17" s="195" customFormat="1">
      <c r="A387" s="13">
        <v>387</v>
      </c>
      <c r="B387" s="193" t="s">
        <v>2532</v>
      </c>
      <c r="C387" s="193" t="s">
        <v>2533</v>
      </c>
      <c r="D387" s="193" t="s">
        <v>2534</v>
      </c>
      <c r="E387" s="193" t="s">
        <v>1057</v>
      </c>
      <c r="F387" s="222">
        <f t="shared" si="64"/>
        <v>12</v>
      </c>
      <c r="G387" s="223" t="str">
        <f t="shared" si="65"/>
        <v>9</v>
      </c>
      <c r="H387" s="224">
        <f t="shared" si="66"/>
        <v>9</v>
      </c>
      <c r="I387" s="223" t="str">
        <f t="shared" si="67"/>
        <v>01 min.</v>
      </c>
      <c r="J387" s="223" t="str">
        <f t="shared" si="68"/>
        <v>01</v>
      </c>
      <c r="K387" s="224">
        <f t="shared" si="69"/>
        <v>1</v>
      </c>
      <c r="L387" s="223" t="str">
        <f t="shared" si="70"/>
        <v>9:1</v>
      </c>
      <c r="M387" s="225">
        <f t="shared" si="71"/>
        <v>0.3756944444444445</v>
      </c>
      <c r="N387" s="194" t="s">
        <v>2535</v>
      </c>
      <c r="O387" s="193" t="s">
        <v>303</v>
      </c>
      <c r="P387" s="194" t="s">
        <v>275</v>
      </c>
      <c r="Q387" s="194" t="s">
        <v>276</v>
      </c>
    </row>
    <row r="388" spans="1:17" s="13" customFormat="1">
      <c r="A388" s="13">
        <v>388</v>
      </c>
      <c r="B388" s="226">
        <f>COUNTA(B269:B387)</f>
        <v>119</v>
      </c>
      <c r="C388" s="165"/>
      <c r="D388" s="165"/>
      <c r="E388" s="165"/>
      <c r="F388" s="222"/>
      <c r="G388" s="223"/>
      <c r="H388" s="224"/>
      <c r="I388" s="223"/>
      <c r="J388" s="223"/>
      <c r="K388" s="224"/>
      <c r="L388" s="223"/>
      <c r="M388" s="229">
        <f>SUM(M269:M387)</f>
        <v>38.601388888888856</v>
      </c>
      <c r="N388" s="167"/>
      <c r="O388" s="165"/>
      <c r="P388" s="167"/>
      <c r="Q388" s="167"/>
    </row>
    <row r="389" spans="1:17" s="13" customFormat="1">
      <c r="A389" s="13">
        <v>389</v>
      </c>
      <c r="B389" s="227">
        <v>119</v>
      </c>
      <c r="C389" s="165"/>
      <c r="D389" s="165"/>
      <c r="E389" s="165"/>
      <c r="F389" s="222"/>
      <c r="G389" s="223"/>
      <c r="H389" s="224"/>
      <c r="I389" s="223"/>
      <c r="J389" s="223"/>
      <c r="K389" s="224"/>
      <c r="L389" s="223"/>
      <c r="M389" s="228">
        <v>38.601388888888884</v>
      </c>
      <c r="N389" s="171" t="s">
        <v>173</v>
      </c>
      <c r="O389" s="165"/>
      <c r="P389" s="167"/>
      <c r="Q389" s="167"/>
    </row>
    <row r="390" spans="1:17" s="13" customFormat="1">
      <c r="A390" s="13">
        <v>390</v>
      </c>
      <c r="B390" s="227">
        <v>119</v>
      </c>
      <c r="C390" s="230" t="s">
        <v>2606</v>
      </c>
      <c r="D390" s="165"/>
      <c r="E390" s="165"/>
      <c r="F390" s="222"/>
      <c r="G390" s="223"/>
      <c r="H390" s="224"/>
      <c r="I390" s="223"/>
      <c r="J390" s="223"/>
      <c r="K390" s="224"/>
      <c r="L390" s="223"/>
      <c r="M390" s="228">
        <v>38.602777777777781</v>
      </c>
      <c r="N390" s="230" t="s">
        <v>2606</v>
      </c>
      <c r="O390" s="165"/>
      <c r="P390" s="167"/>
      <c r="Q390" s="167"/>
    </row>
    <row r="391" spans="1:17" s="13" customFormat="1">
      <c r="A391" s="13">
        <v>391</v>
      </c>
      <c r="B391" s="165"/>
      <c r="C391" s="165"/>
      <c r="D391" s="165"/>
      <c r="E391" s="165"/>
      <c r="F391" s="222">
        <f t="shared" ref="F391:F422" si="72">LEN(E391)</f>
        <v>0</v>
      </c>
      <c r="G391" s="165"/>
      <c r="H391" s="165"/>
      <c r="I391" s="165"/>
      <c r="J391" s="165"/>
      <c r="K391" s="165"/>
      <c r="L391" s="165"/>
      <c r="M391" s="165"/>
      <c r="N391" s="167"/>
      <c r="O391" s="165"/>
      <c r="P391" s="167"/>
      <c r="Q391" s="167"/>
    </row>
    <row r="392" spans="1:17" s="13" customFormat="1">
      <c r="A392" s="13">
        <v>392</v>
      </c>
      <c r="B392" s="234">
        <f>B388</f>
        <v>119</v>
      </c>
      <c r="C392" s="234" t="s">
        <v>2613</v>
      </c>
      <c r="D392" s="205"/>
      <c r="E392" s="165"/>
      <c r="F392" s="222">
        <f t="shared" si="72"/>
        <v>0</v>
      </c>
      <c r="G392" s="165"/>
      <c r="H392" s="165"/>
      <c r="I392" s="165"/>
      <c r="J392" s="165"/>
      <c r="K392" s="165"/>
      <c r="L392" s="165"/>
      <c r="M392" s="233">
        <f>M388</f>
        <v>38.601388888888856</v>
      </c>
      <c r="N392" s="234" t="s">
        <v>2613</v>
      </c>
      <c r="O392" s="205"/>
      <c r="P392" s="206"/>
      <c r="Q392" s="167"/>
    </row>
    <row r="393" spans="1:17" s="13" customFormat="1">
      <c r="A393" s="13">
        <v>393</v>
      </c>
      <c r="B393" s="165"/>
      <c r="C393" s="165"/>
      <c r="D393" s="165"/>
      <c r="E393" s="165"/>
      <c r="F393" s="222">
        <f t="shared" si="72"/>
        <v>0</v>
      </c>
      <c r="G393" s="165"/>
      <c r="H393" s="165"/>
      <c r="I393" s="165"/>
      <c r="J393" s="165"/>
      <c r="K393" s="165"/>
      <c r="L393" s="165"/>
      <c r="M393" s="165"/>
      <c r="N393" s="167"/>
      <c r="O393" s="165"/>
      <c r="P393" s="167"/>
      <c r="Q393" s="167"/>
    </row>
    <row r="394" spans="1:17" s="13" customFormat="1">
      <c r="A394" s="13">
        <v>394</v>
      </c>
      <c r="B394" s="165"/>
      <c r="C394" s="165"/>
      <c r="D394" s="165"/>
      <c r="E394" s="165"/>
      <c r="F394" s="222">
        <f t="shared" si="72"/>
        <v>0</v>
      </c>
      <c r="G394" s="165"/>
      <c r="H394" s="165"/>
      <c r="I394" s="165"/>
      <c r="J394" s="165"/>
      <c r="K394" s="165"/>
      <c r="L394" s="165"/>
      <c r="M394" s="165"/>
      <c r="N394" s="167"/>
      <c r="O394" s="165"/>
      <c r="P394" s="167"/>
      <c r="Q394" s="167"/>
    </row>
    <row r="395" spans="1:17" s="13" customFormat="1">
      <c r="A395" s="13">
        <v>395</v>
      </c>
      <c r="B395" s="165"/>
      <c r="C395" s="165"/>
      <c r="D395" s="165"/>
      <c r="E395" s="165"/>
      <c r="F395" s="222">
        <f t="shared" si="72"/>
        <v>0</v>
      </c>
      <c r="G395" s="165"/>
      <c r="H395" s="165"/>
      <c r="I395" s="165"/>
      <c r="J395" s="165"/>
      <c r="K395" s="165"/>
      <c r="L395" s="165"/>
      <c r="M395" s="165"/>
      <c r="N395" s="167"/>
      <c r="O395" s="165"/>
      <c r="P395" s="167"/>
      <c r="Q395" s="167"/>
    </row>
    <row r="396" spans="1:17" s="198" customFormat="1">
      <c r="A396" s="13">
        <v>396</v>
      </c>
      <c r="B396" s="196" t="s">
        <v>541</v>
      </c>
      <c r="C396" s="196" t="s">
        <v>542</v>
      </c>
      <c r="D396" s="196" t="s">
        <v>543</v>
      </c>
      <c r="E396" s="196" t="s">
        <v>544</v>
      </c>
      <c r="F396" s="222">
        <f t="shared" si="72"/>
        <v>12</v>
      </c>
      <c r="G396" s="223" t="str">
        <f t="shared" ref="G396:G427" si="73">IF(F396=12,LEFT(E396,1),LEFT(E396,2))</f>
        <v>8</v>
      </c>
      <c r="H396" s="224">
        <f t="shared" ref="H396:H427" si="74">VALUE(G396)</f>
        <v>8</v>
      </c>
      <c r="I396" s="223" t="str">
        <f t="shared" ref="I396:I427" si="75">RIGHT(E396,7)</f>
        <v>59 min.</v>
      </c>
      <c r="J396" s="223" t="str">
        <f t="shared" ref="J396:J427" si="76">LEFT(I396,2)</f>
        <v>59</v>
      </c>
      <c r="K396" s="224">
        <f t="shared" ref="K396:K427" si="77">VALUE(J396)</f>
        <v>59</v>
      </c>
      <c r="L396" s="223" t="str">
        <f t="shared" ref="L396:L427" si="78">H396&amp;":"&amp;K396</f>
        <v>8:59</v>
      </c>
      <c r="M396" s="225">
        <f t="shared" ref="M396:M427" si="79">VALUE(L396)</f>
        <v>0.3743055555555555</v>
      </c>
      <c r="N396" s="197" t="s">
        <v>545</v>
      </c>
      <c r="O396" s="196" t="s">
        <v>303</v>
      </c>
      <c r="P396" s="197" t="s">
        <v>546</v>
      </c>
      <c r="Q396" s="197" t="s">
        <v>276</v>
      </c>
    </row>
    <row r="397" spans="1:17" s="198" customFormat="1">
      <c r="A397" s="13">
        <v>397</v>
      </c>
      <c r="B397" s="196" t="s">
        <v>547</v>
      </c>
      <c r="C397" s="196" t="s">
        <v>548</v>
      </c>
      <c r="D397" s="196" t="s">
        <v>549</v>
      </c>
      <c r="E397" s="196" t="s">
        <v>550</v>
      </c>
      <c r="F397" s="222">
        <f t="shared" si="72"/>
        <v>12</v>
      </c>
      <c r="G397" s="223" t="str">
        <f t="shared" si="73"/>
        <v>6</v>
      </c>
      <c r="H397" s="224">
        <f t="shared" si="74"/>
        <v>6</v>
      </c>
      <c r="I397" s="223" t="str">
        <f t="shared" si="75"/>
        <v>38 min.</v>
      </c>
      <c r="J397" s="223" t="str">
        <f t="shared" si="76"/>
        <v>38</v>
      </c>
      <c r="K397" s="224">
        <f t="shared" si="77"/>
        <v>38</v>
      </c>
      <c r="L397" s="223" t="str">
        <f t="shared" si="78"/>
        <v>6:38</v>
      </c>
      <c r="M397" s="225">
        <f t="shared" si="79"/>
        <v>0.27638888888888885</v>
      </c>
      <c r="N397" s="197" t="s">
        <v>551</v>
      </c>
      <c r="O397" s="196" t="s">
        <v>536</v>
      </c>
      <c r="P397" s="197" t="s">
        <v>546</v>
      </c>
      <c r="Q397" s="197" t="s">
        <v>276</v>
      </c>
    </row>
    <row r="398" spans="1:17" s="198" customFormat="1">
      <c r="A398" s="13">
        <v>398</v>
      </c>
      <c r="B398" s="196" t="s">
        <v>552</v>
      </c>
      <c r="C398" s="196" t="s">
        <v>553</v>
      </c>
      <c r="D398" s="196" t="s">
        <v>554</v>
      </c>
      <c r="E398" s="196" t="s">
        <v>555</v>
      </c>
      <c r="F398" s="222">
        <f t="shared" si="72"/>
        <v>13</v>
      </c>
      <c r="G398" s="223" t="str">
        <f t="shared" si="73"/>
        <v>12</v>
      </c>
      <c r="H398" s="224">
        <f t="shared" si="74"/>
        <v>12</v>
      </c>
      <c r="I398" s="223" t="str">
        <f t="shared" si="75"/>
        <v>38 min.</v>
      </c>
      <c r="J398" s="223" t="str">
        <f t="shared" si="76"/>
        <v>38</v>
      </c>
      <c r="K398" s="224">
        <f t="shared" si="77"/>
        <v>38</v>
      </c>
      <c r="L398" s="223" t="str">
        <f t="shared" si="78"/>
        <v>12:38</v>
      </c>
      <c r="M398" s="225">
        <f t="shared" si="79"/>
        <v>0.52638888888888891</v>
      </c>
      <c r="N398" s="197" t="s">
        <v>556</v>
      </c>
      <c r="O398" s="196" t="s">
        <v>274</v>
      </c>
      <c r="P398" s="197" t="s">
        <v>546</v>
      </c>
      <c r="Q398" s="197" t="s">
        <v>276</v>
      </c>
    </row>
    <row r="399" spans="1:17" s="198" customFormat="1">
      <c r="A399" s="13">
        <v>399</v>
      </c>
      <c r="B399" s="196" t="s">
        <v>557</v>
      </c>
      <c r="C399" s="196" t="s">
        <v>558</v>
      </c>
      <c r="D399" s="196" t="s">
        <v>559</v>
      </c>
      <c r="E399" s="196" t="s">
        <v>560</v>
      </c>
      <c r="F399" s="222">
        <f t="shared" si="72"/>
        <v>13</v>
      </c>
      <c r="G399" s="223" t="str">
        <f t="shared" si="73"/>
        <v>15</v>
      </c>
      <c r="H399" s="224">
        <f t="shared" si="74"/>
        <v>15</v>
      </c>
      <c r="I399" s="223" t="str">
        <f t="shared" si="75"/>
        <v>27 min.</v>
      </c>
      <c r="J399" s="223" t="str">
        <f t="shared" si="76"/>
        <v>27</v>
      </c>
      <c r="K399" s="224">
        <f t="shared" si="77"/>
        <v>27</v>
      </c>
      <c r="L399" s="223" t="str">
        <f t="shared" si="78"/>
        <v>15:27</v>
      </c>
      <c r="M399" s="225">
        <f t="shared" si="79"/>
        <v>0.64374999999999993</v>
      </c>
      <c r="N399" s="197" t="s">
        <v>561</v>
      </c>
      <c r="O399" s="196" t="s">
        <v>274</v>
      </c>
      <c r="P399" s="197" t="s">
        <v>546</v>
      </c>
      <c r="Q399" s="197" t="s">
        <v>276</v>
      </c>
    </row>
    <row r="400" spans="1:17" s="198" customFormat="1">
      <c r="A400" s="13">
        <v>400</v>
      </c>
      <c r="B400" s="196" t="s">
        <v>562</v>
      </c>
      <c r="C400" s="196" t="s">
        <v>563</v>
      </c>
      <c r="D400" s="196" t="s">
        <v>564</v>
      </c>
      <c r="E400" s="196" t="s">
        <v>565</v>
      </c>
      <c r="F400" s="222">
        <f t="shared" si="72"/>
        <v>13</v>
      </c>
      <c r="G400" s="223" t="str">
        <f t="shared" si="73"/>
        <v>12</v>
      </c>
      <c r="H400" s="224">
        <f t="shared" si="74"/>
        <v>12</v>
      </c>
      <c r="I400" s="223" t="str">
        <f t="shared" si="75"/>
        <v>54 min.</v>
      </c>
      <c r="J400" s="223" t="str">
        <f t="shared" si="76"/>
        <v>54</v>
      </c>
      <c r="K400" s="224">
        <f t="shared" si="77"/>
        <v>54</v>
      </c>
      <c r="L400" s="223" t="str">
        <f t="shared" si="78"/>
        <v>12:54</v>
      </c>
      <c r="M400" s="225">
        <f t="shared" si="79"/>
        <v>0.53749999999999998</v>
      </c>
      <c r="N400" s="197" t="s">
        <v>566</v>
      </c>
      <c r="O400" s="196" t="s">
        <v>459</v>
      </c>
      <c r="P400" s="197" t="s">
        <v>546</v>
      </c>
      <c r="Q400" s="197" t="s">
        <v>276</v>
      </c>
    </row>
    <row r="401" spans="1:17" s="198" customFormat="1">
      <c r="A401" s="13">
        <v>401</v>
      </c>
      <c r="B401" s="196" t="s">
        <v>567</v>
      </c>
      <c r="C401" s="196" t="s">
        <v>568</v>
      </c>
      <c r="D401" s="196" t="s">
        <v>569</v>
      </c>
      <c r="E401" s="196" t="s">
        <v>570</v>
      </c>
      <c r="F401" s="222">
        <f t="shared" si="72"/>
        <v>12</v>
      </c>
      <c r="G401" s="223" t="str">
        <f t="shared" si="73"/>
        <v>5</v>
      </c>
      <c r="H401" s="224">
        <f t="shared" si="74"/>
        <v>5</v>
      </c>
      <c r="I401" s="223" t="str">
        <f t="shared" si="75"/>
        <v>51 min.</v>
      </c>
      <c r="J401" s="223" t="str">
        <f t="shared" si="76"/>
        <v>51</v>
      </c>
      <c r="K401" s="224">
        <f t="shared" si="77"/>
        <v>51</v>
      </c>
      <c r="L401" s="223" t="str">
        <f t="shared" si="78"/>
        <v>5:51</v>
      </c>
      <c r="M401" s="225">
        <f t="shared" si="79"/>
        <v>0.24374999999999999</v>
      </c>
      <c r="N401" s="197" t="s">
        <v>571</v>
      </c>
      <c r="O401" s="196" t="s">
        <v>286</v>
      </c>
      <c r="P401" s="197" t="s">
        <v>546</v>
      </c>
      <c r="Q401" s="197" t="s">
        <v>276</v>
      </c>
    </row>
    <row r="402" spans="1:17" s="198" customFormat="1">
      <c r="A402" s="13">
        <v>402</v>
      </c>
      <c r="B402" s="196" t="s">
        <v>572</v>
      </c>
      <c r="C402" s="196" t="s">
        <v>573</v>
      </c>
      <c r="D402" s="196" t="s">
        <v>574</v>
      </c>
      <c r="E402" s="196" t="s">
        <v>575</v>
      </c>
      <c r="F402" s="222">
        <f t="shared" si="72"/>
        <v>12</v>
      </c>
      <c r="G402" s="223" t="str">
        <f t="shared" si="73"/>
        <v>8</v>
      </c>
      <c r="H402" s="224">
        <f t="shared" si="74"/>
        <v>8</v>
      </c>
      <c r="I402" s="223" t="str">
        <f t="shared" si="75"/>
        <v>50 min.</v>
      </c>
      <c r="J402" s="223" t="str">
        <f t="shared" si="76"/>
        <v>50</v>
      </c>
      <c r="K402" s="224">
        <f t="shared" si="77"/>
        <v>50</v>
      </c>
      <c r="L402" s="223" t="str">
        <f t="shared" si="78"/>
        <v>8:50</v>
      </c>
      <c r="M402" s="225">
        <f t="shared" si="79"/>
        <v>0.36805555555555558</v>
      </c>
      <c r="N402" s="197" t="s">
        <v>576</v>
      </c>
      <c r="O402" s="196" t="s">
        <v>439</v>
      </c>
      <c r="P402" s="197" t="s">
        <v>546</v>
      </c>
      <c r="Q402" s="197" t="s">
        <v>276</v>
      </c>
    </row>
    <row r="403" spans="1:17" s="198" customFormat="1">
      <c r="A403" s="13">
        <v>403</v>
      </c>
      <c r="B403" s="196" t="s">
        <v>577</v>
      </c>
      <c r="C403" s="196" t="s">
        <v>578</v>
      </c>
      <c r="D403" s="196" t="s">
        <v>579</v>
      </c>
      <c r="E403" s="196" t="s">
        <v>580</v>
      </c>
      <c r="F403" s="222">
        <f t="shared" si="72"/>
        <v>13</v>
      </c>
      <c r="G403" s="223" t="str">
        <f t="shared" si="73"/>
        <v>8.</v>
      </c>
      <c r="H403" s="224">
        <f t="shared" si="74"/>
        <v>8</v>
      </c>
      <c r="I403" s="223" t="str">
        <f t="shared" si="75"/>
        <v>39 min.</v>
      </c>
      <c r="J403" s="223" t="str">
        <f t="shared" si="76"/>
        <v>39</v>
      </c>
      <c r="K403" s="224">
        <f t="shared" si="77"/>
        <v>39</v>
      </c>
      <c r="L403" s="223" t="str">
        <f t="shared" si="78"/>
        <v>8:39</v>
      </c>
      <c r="M403" s="225">
        <f t="shared" si="79"/>
        <v>0.36041666666666666</v>
      </c>
      <c r="N403" s="197" t="s">
        <v>581</v>
      </c>
      <c r="O403" s="196" t="s">
        <v>274</v>
      </c>
      <c r="P403" s="197" t="s">
        <v>546</v>
      </c>
      <c r="Q403" s="197" t="s">
        <v>276</v>
      </c>
    </row>
    <row r="404" spans="1:17" s="198" customFormat="1">
      <c r="A404" s="13">
        <v>404</v>
      </c>
      <c r="B404" s="196" t="s">
        <v>582</v>
      </c>
      <c r="C404" s="196" t="s">
        <v>583</v>
      </c>
      <c r="D404" s="196" t="s">
        <v>584</v>
      </c>
      <c r="E404" s="196" t="s">
        <v>585</v>
      </c>
      <c r="F404" s="222">
        <f t="shared" si="72"/>
        <v>12</v>
      </c>
      <c r="G404" s="223" t="str">
        <f t="shared" si="73"/>
        <v>9</v>
      </c>
      <c r="H404" s="224">
        <f t="shared" si="74"/>
        <v>9</v>
      </c>
      <c r="I404" s="223" t="str">
        <f t="shared" si="75"/>
        <v>11 min.</v>
      </c>
      <c r="J404" s="223" t="str">
        <f t="shared" si="76"/>
        <v>11</v>
      </c>
      <c r="K404" s="224">
        <f t="shared" si="77"/>
        <v>11</v>
      </c>
      <c r="L404" s="223" t="str">
        <f t="shared" si="78"/>
        <v>9:11</v>
      </c>
      <c r="M404" s="225">
        <f t="shared" si="79"/>
        <v>0.38263888888888892</v>
      </c>
      <c r="N404" s="197" t="s">
        <v>586</v>
      </c>
      <c r="O404" s="196" t="s">
        <v>274</v>
      </c>
      <c r="P404" s="197" t="s">
        <v>546</v>
      </c>
      <c r="Q404" s="197" t="s">
        <v>276</v>
      </c>
    </row>
    <row r="405" spans="1:17" s="198" customFormat="1">
      <c r="A405" s="13">
        <v>405</v>
      </c>
      <c r="B405" s="196" t="s">
        <v>587</v>
      </c>
      <c r="C405" s="196" t="s">
        <v>588</v>
      </c>
      <c r="D405" s="196" t="s">
        <v>589</v>
      </c>
      <c r="E405" s="196" t="s">
        <v>590</v>
      </c>
      <c r="F405" s="222">
        <f t="shared" si="72"/>
        <v>12</v>
      </c>
      <c r="G405" s="223" t="str">
        <f t="shared" si="73"/>
        <v>8</v>
      </c>
      <c r="H405" s="224">
        <f t="shared" si="74"/>
        <v>8</v>
      </c>
      <c r="I405" s="223" t="str">
        <f t="shared" si="75"/>
        <v>36 min.</v>
      </c>
      <c r="J405" s="223" t="str">
        <f t="shared" si="76"/>
        <v>36</v>
      </c>
      <c r="K405" s="224">
        <f t="shared" si="77"/>
        <v>36</v>
      </c>
      <c r="L405" s="223" t="str">
        <f t="shared" si="78"/>
        <v>8:36</v>
      </c>
      <c r="M405" s="225">
        <f t="shared" si="79"/>
        <v>0.35833333333333334</v>
      </c>
      <c r="N405" s="197" t="s">
        <v>591</v>
      </c>
      <c r="O405" s="196" t="s">
        <v>303</v>
      </c>
      <c r="P405" s="197" t="s">
        <v>546</v>
      </c>
      <c r="Q405" s="197" t="s">
        <v>276</v>
      </c>
    </row>
    <row r="406" spans="1:17" s="198" customFormat="1">
      <c r="A406" s="13">
        <v>406</v>
      </c>
      <c r="B406" s="196" t="s">
        <v>592</v>
      </c>
      <c r="C406" s="196" t="s">
        <v>593</v>
      </c>
      <c r="D406" s="196" t="s">
        <v>594</v>
      </c>
      <c r="E406" s="196" t="s">
        <v>595</v>
      </c>
      <c r="F406" s="222">
        <f t="shared" si="72"/>
        <v>13</v>
      </c>
      <c r="G406" s="223" t="str">
        <f t="shared" si="73"/>
        <v>11</v>
      </c>
      <c r="H406" s="224">
        <f t="shared" si="74"/>
        <v>11</v>
      </c>
      <c r="I406" s="223" t="str">
        <f t="shared" si="75"/>
        <v>24 min.</v>
      </c>
      <c r="J406" s="223" t="str">
        <f t="shared" si="76"/>
        <v>24</v>
      </c>
      <c r="K406" s="224">
        <f t="shared" si="77"/>
        <v>24</v>
      </c>
      <c r="L406" s="223" t="str">
        <f t="shared" si="78"/>
        <v>11:24</v>
      </c>
      <c r="M406" s="225">
        <f t="shared" si="79"/>
        <v>0.47500000000000003</v>
      </c>
      <c r="N406" s="197" t="s">
        <v>596</v>
      </c>
      <c r="O406" s="196" t="s">
        <v>274</v>
      </c>
      <c r="P406" s="197" t="s">
        <v>546</v>
      </c>
      <c r="Q406" s="197" t="s">
        <v>276</v>
      </c>
    </row>
    <row r="407" spans="1:17" s="198" customFormat="1">
      <c r="A407" s="13">
        <v>407</v>
      </c>
      <c r="B407" s="196" t="s">
        <v>597</v>
      </c>
      <c r="C407" s="196" t="s">
        <v>598</v>
      </c>
      <c r="D407" s="196" t="s">
        <v>599</v>
      </c>
      <c r="E407" s="196" t="s">
        <v>600</v>
      </c>
      <c r="F407" s="222">
        <f t="shared" si="72"/>
        <v>12</v>
      </c>
      <c r="G407" s="223" t="str">
        <f t="shared" si="73"/>
        <v>6</v>
      </c>
      <c r="H407" s="224">
        <f t="shared" si="74"/>
        <v>6</v>
      </c>
      <c r="I407" s="223" t="str">
        <f t="shared" si="75"/>
        <v>27 min.</v>
      </c>
      <c r="J407" s="223" t="str">
        <f t="shared" si="76"/>
        <v>27</v>
      </c>
      <c r="K407" s="224">
        <f t="shared" si="77"/>
        <v>27</v>
      </c>
      <c r="L407" s="223" t="str">
        <f t="shared" si="78"/>
        <v>6:27</v>
      </c>
      <c r="M407" s="225">
        <f t="shared" si="79"/>
        <v>0.26874999999999999</v>
      </c>
      <c r="N407" s="197" t="s">
        <v>601</v>
      </c>
      <c r="O407" s="196" t="s">
        <v>274</v>
      </c>
      <c r="P407" s="197" t="s">
        <v>546</v>
      </c>
      <c r="Q407" s="197" t="s">
        <v>276</v>
      </c>
    </row>
    <row r="408" spans="1:17" s="198" customFormat="1">
      <c r="A408" s="13">
        <v>408</v>
      </c>
      <c r="B408" s="196" t="s">
        <v>602</v>
      </c>
      <c r="C408" s="196" t="s">
        <v>603</v>
      </c>
      <c r="D408" s="196" t="s">
        <v>604</v>
      </c>
      <c r="E408" s="196" t="s">
        <v>605</v>
      </c>
      <c r="F408" s="222">
        <f t="shared" si="72"/>
        <v>13</v>
      </c>
      <c r="G408" s="223" t="str">
        <f t="shared" si="73"/>
        <v>12</v>
      </c>
      <c r="H408" s="224">
        <f t="shared" si="74"/>
        <v>12</v>
      </c>
      <c r="I408" s="223" t="str">
        <f t="shared" si="75"/>
        <v>15 min.</v>
      </c>
      <c r="J408" s="223" t="str">
        <f t="shared" si="76"/>
        <v>15</v>
      </c>
      <c r="K408" s="224">
        <f t="shared" si="77"/>
        <v>15</v>
      </c>
      <c r="L408" s="223" t="str">
        <f t="shared" si="78"/>
        <v>12:15</v>
      </c>
      <c r="M408" s="225">
        <f t="shared" si="79"/>
        <v>0.51041666666666663</v>
      </c>
      <c r="N408" s="197" t="s">
        <v>606</v>
      </c>
      <c r="O408" s="196" t="s">
        <v>286</v>
      </c>
      <c r="P408" s="197" t="s">
        <v>546</v>
      </c>
      <c r="Q408" s="197" t="s">
        <v>276</v>
      </c>
    </row>
    <row r="409" spans="1:17" s="198" customFormat="1">
      <c r="A409" s="13">
        <v>409</v>
      </c>
      <c r="B409" s="196" t="s">
        <v>607</v>
      </c>
      <c r="C409" s="196" t="s">
        <v>608</v>
      </c>
      <c r="D409" s="196" t="s">
        <v>609</v>
      </c>
      <c r="E409" s="196" t="s">
        <v>610</v>
      </c>
      <c r="F409" s="222">
        <f t="shared" si="72"/>
        <v>13</v>
      </c>
      <c r="G409" s="223" t="str">
        <f t="shared" si="73"/>
        <v>13</v>
      </c>
      <c r="H409" s="224">
        <f t="shared" si="74"/>
        <v>13</v>
      </c>
      <c r="I409" s="223" t="str">
        <f t="shared" si="75"/>
        <v>13 min.</v>
      </c>
      <c r="J409" s="223" t="str">
        <f t="shared" si="76"/>
        <v>13</v>
      </c>
      <c r="K409" s="224">
        <f t="shared" si="77"/>
        <v>13</v>
      </c>
      <c r="L409" s="223" t="str">
        <f t="shared" si="78"/>
        <v>13:13</v>
      </c>
      <c r="M409" s="225">
        <f t="shared" si="79"/>
        <v>0.55069444444444449</v>
      </c>
      <c r="N409" s="197" t="s">
        <v>611</v>
      </c>
      <c r="O409" s="196" t="s">
        <v>371</v>
      </c>
      <c r="P409" s="197" t="s">
        <v>546</v>
      </c>
      <c r="Q409" s="197" t="s">
        <v>276</v>
      </c>
    </row>
    <row r="410" spans="1:17" s="198" customFormat="1">
      <c r="A410" s="13">
        <v>410</v>
      </c>
      <c r="B410" s="196" t="s">
        <v>612</v>
      </c>
      <c r="C410" s="196" t="s">
        <v>613</v>
      </c>
      <c r="D410" s="196" t="s">
        <v>614</v>
      </c>
      <c r="E410" s="196" t="s">
        <v>615</v>
      </c>
      <c r="F410" s="222">
        <f t="shared" si="72"/>
        <v>12</v>
      </c>
      <c r="G410" s="223" t="str">
        <f t="shared" si="73"/>
        <v>5</v>
      </c>
      <c r="H410" s="224">
        <f t="shared" si="74"/>
        <v>5</v>
      </c>
      <c r="I410" s="223" t="str">
        <f t="shared" si="75"/>
        <v>28 min.</v>
      </c>
      <c r="J410" s="223" t="str">
        <f t="shared" si="76"/>
        <v>28</v>
      </c>
      <c r="K410" s="224">
        <f t="shared" si="77"/>
        <v>28</v>
      </c>
      <c r="L410" s="223" t="str">
        <f t="shared" si="78"/>
        <v>5:28</v>
      </c>
      <c r="M410" s="225">
        <f t="shared" si="79"/>
        <v>0.22777777777777777</v>
      </c>
      <c r="N410" s="197" t="s">
        <v>571</v>
      </c>
      <c r="O410" s="196" t="s">
        <v>616</v>
      </c>
      <c r="P410" s="197" t="s">
        <v>546</v>
      </c>
      <c r="Q410" s="197" t="s">
        <v>276</v>
      </c>
    </row>
    <row r="411" spans="1:17" s="198" customFormat="1">
      <c r="A411" s="13">
        <v>411</v>
      </c>
      <c r="B411" s="196" t="s">
        <v>617</v>
      </c>
      <c r="C411" s="196" t="s">
        <v>618</v>
      </c>
      <c r="D411" s="196" t="s">
        <v>619</v>
      </c>
      <c r="E411" s="196" t="s">
        <v>620</v>
      </c>
      <c r="F411" s="222">
        <f t="shared" si="72"/>
        <v>12</v>
      </c>
      <c r="G411" s="223" t="str">
        <f t="shared" si="73"/>
        <v>9</v>
      </c>
      <c r="H411" s="224">
        <f t="shared" si="74"/>
        <v>9</v>
      </c>
      <c r="I411" s="223" t="str">
        <f t="shared" si="75"/>
        <v>06 min.</v>
      </c>
      <c r="J411" s="223" t="str">
        <f t="shared" si="76"/>
        <v>06</v>
      </c>
      <c r="K411" s="224">
        <f t="shared" si="77"/>
        <v>6</v>
      </c>
      <c r="L411" s="223" t="str">
        <f t="shared" si="78"/>
        <v>9:6</v>
      </c>
      <c r="M411" s="225">
        <f t="shared" si="79"/>
        <v>0.37916666666666665</v>
      </c>
      <c r="N411" s="197" t="s">
        <v>621</v>
      </c>
      <c r="O411" s="196" t="s">
        <v>292</v>
      </c>
      <c r="P411" s="197" t="s">
        <v>546</v>
      </c>
      <c r="Q411" s="197" t="s">
        <v>276</v>
      </c>
    </row>
    <row r="412" spans="1:17" s="198" customFormat="1">
      <c r="A412" s="13">
        <v>412</v>
      </c>
      <c r="B412" s="196" t="s">
        <v>622</v>
      </c>
      <c r="C412" s="196" t="s">
        <v>623</v>
      </c>
      <c r="D412" s="196" t="s">
        <v>624</v>
      </c>
      <c r="E412" s="196" t="s">
        <v>2609</v>
      </c>
      <c r="F412" s="222">
        <f t="shared" si="72"/>
        <v>13</v>
      </c>
      <c r="G412" s="223" t="str">
        <f t="shared" si="73"/>
        <v>10</v>
      </c>
      <c r="H412" s="224">
        <f t="shared" si="74"/>
        <v>10</v>
      </c>
      <c r="I412" s="223" t="str">
        <f t="shared" si="75"/>
        <v>07 min.</v>
      </c>
      <c r="J412" s="223" t="str">
        <f t="shared" si="76"/>
        <v>07</v>
      </c>
      <c r="K412" s="224">
        <f t="shared" si="77"/>
        <v>7</v>
      </c>
      <c r="L412" s="223" t="str">
        <f t="shared" si="78"/>
        <v>10:7</v>
      </c>
      <c r="M412" s="225">
        <f t="shared" si="79"/>
        <v>0.42152777777777778</v>
      </c>
      <c r="N412" s="197" t="s">
        <v>625</v>
      </c>
      <c r="O412" s="196" t="s">
        <v>274</v>
      </c>
      <c r="P412" s="197" t="s">
        <v>546</v>
      </c>
      <c r="Q412" s="197" t="s">
        <v>276</v>
      </c>
    </row>
    <row r="413" spans="1:17" s="198" customFormat="1">
      <c r="A413" s="13">
        <v>413</v>
      </c>
      <c r="B413" s="196" t="s">
        <v>626</v>
      </c>
      <c r="C413" s="196" t="s">
        <v>627</v>
      </c>
      <c r="D413" s="196" t="s">
        <v>628</v>
      </c>
      <c r="E413" s="196" t="s">
        <v>629</v>
      </c>
      <c r="F413" s="222">
        <f t="shared" si="72"/>
        <v>12</v>
      </c>
      <c r="G413" s="223" t="str">
        <f t="shared" si="73"/>
        <v>6</v>
      </c>
      <c r="H413" s="224">
        <f t="shared" si="74"/>
        <v>6</v>
      </c>
      <c r="I413" s="223" t="str">
        <f t="shared" si="75"/>
        <v>58 min.</v>
      </c>
      <c r="J413" s="223" t="str">
        <f t="shared" si="76"/>
        <v>58</v>
      </c>
      <c r="K413" s="224">
        <f t="shared" si="77"/>
        <v>58</v>
      </c>
      <c r="L413" s="223" t="str">
        <f t="shared" si="78"/>
        <v>6:58</v>
      </c>
      <c r="M413" s="225">
        <f t="shared" si="79"/>
        <v>0.2902777777777778</v>
      </c>
      <c r="N413" s="197" t="s">
        <v>576</v>
      </c>
      <c r="O413" s="196" t="s">
        <v>439</v>
      </c>
      <c r="P413" s="197" t="s">
        <v>546</v>
      </c>
      <c r="Q413" s="197" t="s">
        <v>276</v>
      </c>
    </row>
    <row r="414" spans="1:17" s="198" customFormat="1">
      <c r="A414" s="13">
        <v>414</v>
      </c>
      <c r="B414" s="196" t="s">
        <v>713</v>
      </c>
      <c r="C414" s="196" t="s">
        <v>714</v>
      </c>
      <c r="D414" s="196" t="s">
        <v>715</v>
      </c>
      <c r="E414" s="196" t="s">
        <v>716</v>
      </c>
      <c r="F414" s="222">
        <f t="shared" si="72"/>
        <v>13</v>
      </c>
      <c r="G414" s="223" t="str">
        <f t="shared" si="73"/>
        <v>16</v>
      </c>
      <c r="H414" s="224">
        <f t="shared" si="74"/>
        <v>16</v>
      </c>
      <c r="I414" s="223" t="str">
        <f t="shared" si="75"/>
        <v>33 min.</v>
      </c>
      <c r="J414" s="223" t="str">
        <f t="shared" si="76"/>
        <v>33</v>
      </c>
      <c r="K414" s="224">
        <f t="shared" si="77"/>
        <v>33</v>
      </c>
      <c r="L414" s="223" t="str">
        <f t="shared" si="78"/>
        <v>16:33</v>
      </c>
      <c r="M414" s="225">
        <f t="shared" si="79"/>
        <v>0.68958333333333333</v>
      </c>
      <c r="N414" s="197" t="s">
        <v>717</v>
      </c>
      <c r="O414" s="196" t="s">
        <v>274</v>
      </c>
      <c r="P414" s="197" t="s">
        <v>546</v>
      </c>
      <c r="Q414" s="197" t="s">
        <v>276</v>
      </c>
    </row>
    <row r="415" spans="1:17" s="198" customFormat="1">
      <c r="A415" s="13">
        <v>415</v>
      </c>
      <c r="B415" s="196" t="s">
        <v>723</v>
      </c>
      <c r="C415" s="196" t="s">
        <v>724</v>
      </c>
      <c r="D415" s="196" t="s">
        <v>725</v>
      </c>
      <c r="E415" s="196" t="s">
        <v>726</v>
      </c>
      <c r="F415" s="222">
        <f t="shared" si="72"/>
        <v>12</v>
      </c>
      <c r="G415" s="223" t="str">
        <f t="shared" si="73"/>
        <v>8</v>
      </c>
      <c r="H415" s="224">
        <f t="shared" si="74"/>
        <v>8</v>
      </c>
      <c r="I415" s="223" t="str">
        <f t="shared" si="75"/>
        <v>27 min.</v>
      </c>
      <c r="J415" s="223" t="str">
        <f t="shared" si="76"/>
        <v>27</v>
      </c>
      <c r="K415" s="224">
        <f t="shared" si="77"/>
        <v>27</v>
      </c>
      <c r="L415" s="223" t="str">
        <f t="shared" si="78"/>
        <v>8:27</v>
      </c>
      <c r="M415" s="225">
        <f t="shared" si="79"/>
        <v>0.3520833333333333</v>
      </c>
      <c r="N415" s="197" t="s">
        <v>717</v>
      </c>
      <c r="O415" s="196" t="s">
        <v>439</v>
      </c>
      <c r="P415" s="197" t="s">
        <v>546</v>
      </c>
      <c r="Q415" s="197" t="s">
        <v>276</v>
      </c>
    </row>
    <row r="416" spans="1:17" s="198" customFormat="1">
      <c r="A416" s="13">
        <v>416</v>
      </c>
      <c r="B416" s="196" t="s">
        <v>727</v>
      </c>
      <c r="C416" s="196" t="s">
        <v>728</v>
      </c>
      <c r="D416" s="196" t="s">
        <v>729</v>
      </c>
      <c r="E416" s="196" t="s">
        <v>730</v>
      </c>
      <c r="F416" s="222">
        <f t="shared" si="72"/>
        <v>12</v>
      </c>
      <c r="G416" s="223" t="str">
        <f t="shared" si="73"/>
        <v>3</v>
      </c>
      <c r="H416" s="224">
        <f t="shared" si="74"/>
        <v>3</v>
      </c>
      <c r="I416" s="223" t="str">
        <f t="shared" si="75"/>
        <v>45 min.</v>
      </c>
      <c r="J416" s="223" t="str">
        <f t="shared" si="76"/>
        <v>45</v>
      </c>
      <c r="K416" s="224">
        <f t="shared" si="77"/>
        <v>45</v>
      </c>
      <c r="L416" s="223" t="str">
        <f t="shared" si="78"/>
        <v>3:45</v>
      </c>
      <c r="M416" s="225">
        <f t="shared" si="79"/>
        <v>0.15625</v>
      </c>
      <c r="N416" s="197" t="s">
        <v>731</v>
      </c>
      <c r="O416" s="196" t="s">
        <v>303</v>
      </c>
      <c r="P416" s="197" t="s">
        <v>546</v>
      </c>
      <c r="Q416" s="197" t="s">
        <v>276</v>
      </c>
    </row>
    <row r="417" spans="1:17" s="198" customFormat="1">
      <c r="A417" s="13">
        <v>417</v>
      </c>
      <c r="B417" s="196" t="s">
        <v>732</v>
      </c>
      <c r="C417" s="196" t="s">
        <v>733</v>
      </c>
      <c r="D417" s="196" t="s">
        <v>734</v>
      </c>
      <c r="E417" s="196" t="s">
        <v>735</v>
      </c>
      <c r="F417" s="222">
        <f t="shared" si="72"/>
        <v>12</v>
      </c>
      <c r="G417" s="223" t="str">
        <f t="shared" si="73"/>
        <v>6</v>
      </c>
      <c r="H417" s="224">
        <f t="shared" si="74"/>
        <v>6</v>
      </c>
      <c r="I417" s="223" t="str">
        <f t="shared" si="75"/>
        <v>24 min.</v>
      </c>
      <c r="J417" s="223" t="str">
        <f t="shared" si="76"/>
        <v>24</v>
      </c>
      <c r="K417" s="224">
        <f t="shared" si="77"/>
        <v>24</v>
      </c>
      <c r="L417" s="223" t="str">
        <f t="shared" si="78"/>
        <v>6:24</v>
      </c>
      <c r="M417" s="225">
        <f t="shared" si="79"/>
        <v>0.26666666666666666</v>
      </c>
      <c r="N417" s="197" t="s">
        <v>736</v>
      </c>
      <c r="O417" s="196" t="s">
        <v>274</v>
      </c>
      <c r="P417" s="197" t="s">
        <v>546</v>
      </c>
      <c r="Q417" s="197" t="s">
        <v>276</v>
      </c>
    </row>
    <row r="418" spans="1:17" s="198" customFormat="1">
      <c r="A418" s="13">
        <v>418</v>
      </c>
      <c r="B418" s="196" t="s">
        <v>737</v>
      </c>
      <c r="C418" s="196" t="s">
        <v>738</v>
      </c>
      <c r="D418" s="196" t="s">
        <v>739</v>
      </c>
      <c r="E418" s="196" t="s">
        <v>740</v>
      </c>
      <c r="F418" s="222">
        <f t="shared" si="72"/>
        <v>12</v>
      </c>
      <c r="G418" s="223" t="str">
        <f t="shared" si="73"/>
        <v>7</v>
      </c>
      <c r="H418" s="224">
        <f t="shared" si="74"/>
        <v>7</v>
      </c>
      <c r="I418" s="223" t="str">
        <f t="shared" si="75"/>
        <v>41 min.</v>
      </c>
      <c r="J418" s="223" t="str">
        <f t="shared" si="76"/>
        <v>41</v>
      </c>
      <c r="K418" s="224">
        <f t="shared" si="77"/>
        <v>41</v>
      </c>
      <c r="L418" s="223" t="str">
        <f t="shared" si="78"/>
        <v>7:41</v>
      </c>
      <c r="M418" s="225">
        <f t="shared" si="79"/>
        <v>0.32013888888888892</v>
      </c>
      <c r="N418" s="197" t="s">
        <v>741</v>
      </c>
      <c r="O418" s="196" t="s">
        <v>303</v>
      </c>
      <c r="P418" s="197" t="s">
        <v>546</v>
      </c>
      <c r="Q418" s="197" t="s">
        <v>276</v>
      </c>
    </row>
    <row r="419" spans="1:17" s="198" customFormat="1">
      <c r="A419" s="13">
        <v>419</v>
      </c>
      <c r="B419" s="196" t="s">
        <v>1147</v>
      </c>
      <c r="C419" s="196" t="s">
        <v>1148</v>
      </c>
      <c r="D419" s="196" t="s">
        <v>1149</v>
      </c>
      <c r="E419" s="196" t="s">
        <v>1150</v>
      </c>
      <c r="F419" s="222">
        <f t="shared" si="72"/>
        <v>12</v>
      </c>
      <c r="G419" s="223" t="str">
        <f t="shared" si="73"/>
        <v>4</v>
      </c>
      <c r="H419" s="224">
        <f t="shared" si="74"/>
        <v>4</v>
      </c>
      <c r="I419" s="223" t="str">
        <f t="shared" si="75"/>
        <v>59 min.</v>
      </c>
      <c r="J419" s="223" t="str">
        <f t="shared" si="76"/>
        <v>59</v>
      </c>
      <c r="K419" s="224">
        <f t="shared" si="77"/>
        <v>59</v>
      </c>
      <c r="L419" s="223" t="str">
        <f t="shared" si="78"/>
        <v>4:59</v>
      </c>
      <c r="M419" s="225">
        <f t="shared" si="79"/>
        <v>0.2076388888888889</v>
      </c>
      <c r="N419" s="197" t="s">
        <v>1151</v>
      </c>
      <c r="O419" s="196" t="s">
        <v>286</v>
      </c>
      <c r="P419" s="197" t="s">
        <v>546</v>
      </c>
      <c r="Q419" s="197" t="s">
        <v>276</v>
      </c>
    </row>
    <row r="420" spans="1:17" s="198" customFormat="1">
      <c r="A420" s="13">
        <v>420</v>
      </c>
      <c r="B420" s="196" t="s">
        <v>1152</v>
      </c>
      <c r="C420" s="196" t="s">
        <v>1153</v>
      </c>
      <c r="D420" s="196" t="s">
        <v>1154</v>
      </c>
      <c r="E420" s="196" t="s">
        <v>1155</v>
      </c>
      <c r="F420" s="222">
        <f t="shared" si="72"/>
        <v>13</v>
      </c>
      <c r="G420" s="223" t="str">
        <f t="shared" si="73"/>
        <v>14</v>
      </c>
      <c r="H420" s="224">
        <f t="shared" si="74"/>
        <v>14</v>
      </c>
      <c r="I420" s="223" t="str">
        <f t="shared" si="75"/>
        <v>17 min.</v>
      </c>
      <c r="J420" s="223" t="str">
        <f t="shared" si="76"/>
        <v>17</v>
      </c>
      <c r="K420" s="224">
        <f t="shared" si="77"/>
        <v>17</v>
      </c>
      <c r="L420" s="223" t="str">
        <f t="shared" si="78"/>
        <v>14:17</v>
      </c>
      <c r="M420" s="225">
        <f t="shared" si="79"/>
        <v>0.59513888888888888</v>
      </c>
      <c r="N420" s="197" t="s">
        <v>576</v>
      </c>
      <c r="O420" s="196" t="s">
        <v>274</v>
      </c>
      <c r="P420" s="197" t="s">
        <v>546</v>
      </c>
      <c r="Q420" s="197" t="s">
        <v>276</v>
      </c>
    </row>
    <row r="421" spans="1:17" s="198" customFormat="1">
      <c r="A421" s="13">
        <v>421</v>
      </c>
      <c r="B421" s="196" t="s">
        <v>1185</v>
      </c>
      <c r="C421" s="196" t="s">
        <v>1186</v>
      </c>
      <c r="D421" s="196" t="s">
        <v>1187</v>
      </c>
      <c r="E421" s="196" t="s">
        <v>1188</v>
      </c>
      <c r="F421" s="222">
        <f t="shared" si="72"/>
        <v>12</v>
      </c>
      <c r="G421" s="223" t="str">
        <f t="shared" si="73"/>
        <v>5</v>
      </c>
      <c r="H421" s="224">
        <f t="shared" si="74"/>
        <v>5</v>
      </c>
      <c r="I421" s="223" t="str">
        <f t="shared" si="75"/>
        <v>29 min.</v>
      </c>
      <c r="J421" s="223" t="str">
        <f t="shared" si="76"/>
        <v>29</v>
      </c>
      <c r="K421" s="224">
        <f t="shared" si="77"/>
        <v>29</v>
      </c>
      <c r="L421" s="223" t="str">
        <f t="shared" si="78"/>
        <v>5:29</v>
      </c>
      <c r="M421" s="225">
        <f t="shared" si="79"/>
        <v>0.22847222222222222</v>
      </c>
      <c r="N421" s="197" t="s">
        <v>1189</v>
      </c>
      <c r="O421" s="196" t="s">
        <v>327</v>
      </c>
      <c r="P421" s="197" t="s">
        <v>546</v>
      </c>
      <c r="Q421" s="197" t="s">
        <v>276</v>
      </c>
    </row>
    <row r="422" spans="1:17" s="198" customFormat="1">
      <c r="A422" s="13">
        <v>422</v>
      </c>
      <c r="B422" s="196" t="s">
        <v>1190</v>
      </c>
      <c r="C422" s="196" t="s">
        <v>1191</v>
      </c>
      <c r="D422" s="196" t="s">
        <v>1192</v>
      </c>
      <c r="E422" s="196" t="s">
        <v>1193</v>
      </c>
      <c r="F422" s="222">
        <f t="shared" si="72"/>
        <v>13</v>
      </c>
      <c r="G422" s="223" t="str">
        <f t="shared" si="73"/>
        <v>13</v>
      </c>
      <c r="H422" s="224">
        <f t="shared" si="74"/>
        <v>13</v>
      </c>
      <c r="I422" s="223" t="str">
        <f t="shared" si="75"/>
        <v>17 min.</v>
      </c>
      <c r="J422" s="223" t="str">
        <f t="shared" si="76"/>
        <v>17</v>
      </c>
      <c r="K422" s="224">
        <f t="shared" si="77"/>
        <v>17</v>
      </c>
      <c r="L422" s="223" t="str">
        <f t="shared" si="78"/>
        <v>13:17</v>
      </c>
      <c r="M422" s="225">
        <f t="shared" si="79"/>
        <v>0.55347222222222225</v>
      </c>
      <c r="N422" s="197" t="s">
        <v>1194</v>
      </c>
      <c r="O422" s="196" t="s">
        <v>371</v>
      </c>
      <c r="P422" s="197" t="s">
        <v>546</v>
      </c>
      <c r="Q422" s="197" t="s">
        <v>276</v>
      </c>
    </row>
    <row r="423" spans="1:17" s="198" customFormat="1">
      <c r="A423" s="13">
        <v>423</v>
      </c>
      <c r="B423" s="196" t="s">
        <v>1195</v>
      </c>
      <c r="C423" s="196" t="s">
        <v>1196</v>
      </c>
      <c r="D423" s="196" t="s">
        <v>1197</v>
      </c>
      <c r="E423" s="196" t="s">
        <v>1198</v>
      </c>
      <c r="F423" s="222">
        <f t="shared" ref="F423:F454" si="80">LEN(E423)</f>
        <v>13</v>
      </c>
      <c r="G423" s="223" t="str">
        <f t="shared" si="73"/>
        <v>27</v>
      </c>
      <c r="H423" s="224">
        <f t="shared" si="74"/>
        <v>27</v>
      </c>
      <c r="I423" s="223" t="str">
        <f t="shared" si="75"/>
        <v>27 min.</v>
      </c>
      <c r="J423" s="223" t="str">
        <f t="shared" si="76"/>
        <v>27</v>
      </c>
      <c r="K423" s="224">
        <f t="shared" si="77"/>
        <v>27</v>
      </c>
      <c r="L423" s="223" t="str">
        <f t="shared" si="78"/>
        <v>27:27</v>
      </c>
      <c r="M423" s="225">
        <f t="shared" si="79"/>
        <v>1.14375</v>
      </c>
      <c r="N423" s="197" t="s">
        <v>1199</v>
      </c>
      <c r="O423" s="196" t="s">
        <v>371</v>
      </c>
      <c r="P423" s="197" t="s">
        <v>546</v>
      </c>
      <c r="Q423" s="197" t="s">
        <v>276</v>
      </c>
    </row>
    <row r="424" spans="1:17" s="198" customFormat="1">
      <c r="A424" s="13">
        <v>424</v>
      </c>
      <c r="B424" s="196" t="s">
        <v>1200</v>
      </c>
      <c r="C424" s="196" t="s">
        <v>1201</v>
      </c>
      <c r="D424" s="196" t="s">
        <v>1202</v>
      </c>
      <c r="E424" s="196" t="s">
        <v>1203</v>
      </c>
      <c r="F424" s="222">
        <f t="shared" si="80"/>
        <v>13</v>
      </c>
      <c r="G424" s="223" t="str">
        <f t="shared" si="73"/>
        <v>12</v>
      </c>
      <c r="H424" s="224">
        <f t="shared" si="74"/>
        <v>12</v>
      </c>
      <c r="I424" s="223" t="str">
        <f t="shared" si="75"/>
        <v>12 min.</v>
      </c>
      <c r="J424" s="223" t="str">
        <f t="shared" si="76"/>
        <v>12</v>
      </c>
      <c r="K424" s="224">
        <f t="shared" si="77"/>
        <v>12</v>
      </c>
      <c r="L424" s="223" t="str">
        <f t="shared" si="78"/>
        <v>12:12</v>
      </c>
      <c r="M424" s="225">
        <f t="shared" si="79"/>
        <v>0.5083333333333333</v>
      </c>
      <c r="N424" s="197" t="s">
        <v>1204</v>
      </c>
      <c r="O424" s="196" t="s">
        <v>274</v>
      </c>
      <c r="P424" s="197" t="s">
        <v>546</v>
      </c>
      <c r="Q424" s="197" t="s">
        <v>276</v>
      </c>
    </row>
    <row r="425" spans="1:17" s="198" customFormat="1">
      <c r="A425" s="13">
        <v>425</v>
      </c>
      <c r="B425" s="196" t="s">
        <v>1205</v>
      </c>
      <c r="C425" s="196" t="s">
        <v>1201</v>
      </c>
      <c r="D425" s="196" t="s">
        <v>1206</v>
      </c>
      <c r="E425" s="196" t="s">
        <v>1207</v>
      </c>
      <c r="F425" s="222">
        <f t="shared" si="80"/>
        <v>13</v>
      </c>
      <c r="G425" s="223" t="str">
        <f t="shared" si="73"/>
        <v>13</v>
      </c>
      <c r="H425" s="224">
        <f t="shared" si="74"/>
        <v>13</v>
      </c>
      <c r="I425" s="223" t="str">
        <f t="shared" si="75"/>
        <v>38 min.</v>
      </c>
      <c r="J425" s="223" t="str">
        <f t="shared" si="76"/>
        <v>38</v>
      </c>
      <c r="K425" s="224">
        <f t="shared" si="77"/>
        <v>38</v>
      </c>
      <c r="L425" s="223" t="str">
        <f t="shared" si="78"/>
        <v>13:38</v>
      </c>
      <c r="M425" s="225">
        <f t="shared" si="79"/>
        <v>0.56805555555555554</v>
      </c>
      <c r="N425" s="197" t="s">
        <v>1208</v>
      </c>
      <c r="O425" s="196" t="s">
        <v>274</v>
      </c>
      <c r="P425" s="197" t="s">
        <v>546</v>
      </c>
      <c r="Q425" s="197" t="s">
        <v>276</v>
      </c>
    </row>
    <row r="426" spans="1:17" s="198" customFormat="1">
      <c r="A426" s="13">
        <v>426</v>
      </c>
      <c r="B426" s="196" t="s">
        <v>1209</v>
      </c>
      <c r="C426" s="196" t="s">
        <v>1210</v>
      </c>
      <c r="D426" s="196" t="s">
        <v>1211</v>
      </c>
      <c r="E426" s="196" t="s">
        <v>980</v>
      </c>
      <c r="F426" s="222">
        <f t="shared" si="80"/>
        <v>12</v>
      </c>
      <c r="G426" s="223" t="str">
        <f t="shared" si="73"/>
        <v>6</v>
      </c>
      <c r="H426" s="224">
        <f t="shared" si="74"/>
        <v>6</v>
      </c>
      <c r="I426" s="223" t="str">
        <f t="shared" si="75"/>
        <v>36 min.</v>
      </c>
      <c r="J426" s="223" t="str">
        <f t="shared" si="76"/>
        <v>36</v>
      </c>
      <c r="K426" s="224">
        <f t="shared" si="77"/>
        <v>36</v>
      </c>
      <c r="L426" s="223" t="str">
        <f t="shared" si="78"/>
        <v>6:36</v>
      </c>
      <c r="M426" s="225">
        <f t="shared" si="79"/>
        <v>0.27499999999999997</v>
      </c>
      <c r="N426" s="197" t="s">
        <v>1199</v>
      </c>
      <c r="O426" s="196" t="s">
        <v>274</v>
      </c>
      <c r="P426" s="197" t="s">
        <v>546</v>
      </c>
      <c r="Q426" s="197" t="s">
        <v>276</v>
      </c>
    </row>
    <row r="427" spans="1:17" s="198" customFormat="1">
      <c r="A427" s="13">
        <v>427</v>
      </c>
      <c r="B427" s="196" t="s">
        <v>1212</v>
      </c>
      <c r="C427" s="196" t="s">
        <v>1201</v>
      </c>
      <c r="D427" s="196" t="s">
        <v>1213</v>
      </c>
      <c r="E427" s="196" t="s">
        <v>1214</v>
      </c>
      <c r="F427" s="222">
        <f t="shared" si="80"/>
        <v>13</v>
      </c>
      <c r="G427" s="223" t="str">
        <f t="shared" si="73"/>
        <v>17</v>
      </c>
      <c r="H427" s="224">
        <f t="shared" si="74"/>
        <v>17</v>
      </c>
      <c r="I427" s="223" t="str">
        <f t="shared" si="75"/>
        <v>46 min.</v>
      </c>
      <c r="J427" s="223" t="str">
        <f t="shared" si="76"/>
        <v>46</v>
      </c>
      <c r="K427" s="224">
        <f t="shared" si="77"/>
        <v>46</v>
      </c>
      <c r="L427" s="223" t="str">
        <f t="shared" si="78"/>
        <v>17:46</v>
      </c>
      <c r="M427" s="225">
        <f t="shared" si="79"/>
        <v>0.7402777777777777</v>
      </c>
      <c r="N427" s="197" t="s">
        <v>1204</v>
      </c>
      <c r="O427" s="196" t="s">
        <v>274</v>
      </c>
      <c r="P427" s="197" t="s">
        <v>546</v>
      </c>
      <c r="Q427" s="197" t="s">
        <v>276</v>
      </c>
    </row>
    <row r="428" spans="1:17" s="198" customFormat="1">
      <c r="A428" s="13">
        <v>428</v>
      </c>
      <c r="B428" s="196" t="s">
        <v>1215</v>
      </c>
      <c r="C428" s="196" t="s">
        <v>1201</v>
      </c>
      <c r="D428" s="196" t="s">
        <v>1216</v>
      </c>
      <c r="E428" s="196" t="s">
        <v>1217</v>
      </c>
      <c r="F428" s="222">
        <f t="shared" si="80"/>
        <v>13</v>
      </c>
      <c r="G428" s="223" t="str">
        <f t="shared" ref="G428:G459" si="81">IF(F428=12,LEFT(E428,1),LEFT(E428,2))</f>
        <v>14</v>
      </c>
      <c r="H428" s="224">
        <f t="shared" ref="H428:H459" si="82">VALUE(G428)</f>
        <v>14</v>
      </c>
      <c r="I428" s="223" t="str">
        <f t="shared" ref="I428:I459" si="83">RIGHT(E428,7)</f>
        <v>16 min.</v>
      </c>
      <c r="J428" s="223" t="str">
        <f t="shared" ref="J428:J459" si="84">LEFT(I428,2)</f>
        <v>16</v>
      </c>
      <c r="K428" s="224">
        <f t="shared" ref="K428:K459" si="85">VALUE(J428)</f>
        <v>16</v>
      </c>
      <c r="L428" s="223" t="str">
        <f t="shared" ref="L428:L459" si="86">H428&amp;":"&amp;K428</f>
        <v>14:16</v>
      </c>
      <c r="M428" s="225">
        <f t="shared" ref="M428:M459" si="87">VALUE(L428)</f>
        <v>0.59444444444444444</v>
      </c>
      <c r="N428" s="197" t="s">
        <v>1218</v>
      </c>
      <c r="O428" s="196" t="s">
        <v>274</v>
      </c>
      <c r="P428" s="197" t="s">
        <v>546</v>
      </c>
      <c r="Q428" s="197" t="s">
        <v>276</v>
      </c>
    </row>
    <row r="429" spans="1:17" s="198" customFormat="1">
      <c r="A429" s="13">
        <v>429</v>
      </c>
      <c r="B429" s="196" t="s">
        <v>1219</v>
      </c>
      <c r="C429" s="196" t="s">
        <v>1220</v>
      </c>
      <c r="D429" s="196" t="s">
        <v>1221</v>
      </c>
      <c r="E429" s="196" t="s">
        <v>1222</v>
      </c>
      <c r="F429" s="222">
        <f t="shared" si="80"/>
        <v>12</v>
      </c>
      <c r="G429" s="223" t="str">
        <f t="shared" si="81"/>
        <v>7</v>
      </c>
      <c r="H429" s="224">
        <f t="shared" si="82"/>
        <v>7</v>
      </c>
      <c r="I429" s="223" t="str">
        <f t="shared" si="83"/>
        <v>35 min.</v>
      </c>
      <c r="J429" s="223" t="str">
        <f t="shared" si="84"/>
        <v>35</v>
      </c>
      <c r="K429" s="224">
        <f t="shared" si="85"/>
        <v>35</v>
      </c>
      <c r="L429" s="223" t="str">
        <f t="shared" si="86"/>
        <v>7:35</v>
      </c>
      <c r="M429" s="225">
        <f t="shared" si="87"/>
        <v>0.31597222222222221</v>
      </c>
      <c r="N429" s="197" t="s">
        <v>1223</v>
      </c>
      <c r="O429" s="196" t="s">
        <v>274</v>
      </c>
      <c r="P429" s="197" t="s">
        <v>546</v>
      </c>
      <c r="Q429" s="197" t="s">
        <v>276</v>
      </c>
    </row>
    <row r="430" spans="1:17" s="198" customFormat="1">
      <c r="A430" s="13">
        <v>430</v>
      </c>
      <c r="B430" s="196" t="s">
        <v>1224</v>
      </c>
      <c r="C430" s="196" t="s">
        <v>1225</v>
      </c>
      <c r="D430" s="196" t="s">
        <v>1226</v>
      </c>
      <c r="E430" s="196" t="s">
        <v>1227</v>
      </c>
      <c r="F430" s="222">
        <f t="shared" si="80"/>
        <v>13</v>
      </c>
      <c r="G430" s="223" t="str">
        <f t="shared" si="81"/>
        <v>13</v>
      </c>
      <c r="H430" s="224">
        <f t="shared" si="82"/>
        <v>13</v>
      </c>
      <c r="I430" s="223" t="str">
        <f t="shared" si="83"/>
        <v>21 min.</v>
      </c>
      <c r="J430" s="223" t="str">
        <f t="shared" si="84"/>
        <v>21</v>
      </c>
      <c r="K430" s="224">
        <f t="shared" si="85"/>
        <v>21</v>
      </c>
      <c r="L430" s="223" t="str">
        <f t="shared" si="86"/>
        <v>13:21</v>
      </c>
      <c r="M430" s="225">
        <f t="shared" si="87"/>
        <v>0.55625000000000002</v>
      </c>
      <c r="N430" s="197" t="s">
        <v>1228</v>
      </c>
      <c r="O430" s="196" t="s">
        <v>274</v>
      </c>
      <c r="P430" s="197" t="s">
        <v>546</v>
      </c>
      <c r="Q430" s="197" t="s">
        <v>276</v>
      </c>
    </row>
    <row r="431" spans="1:17" s="198" customFormat="1">
      <c r="A431" s="13">
        <v>431</v>
      </c>
      <c r="B431" s="196" t="s">
        <v>1229</v>
      </c>
      <c r="C431" s="196" t="s">
        <v>1225</v>
      </c>
      <c r="D431" s="196" t="s">
        <v>1230</v>
      </c>
      <c r="E431" s="196" t="s">
        <v>1231</v>
      </c>
      <c r="F431" s="222">
        <f t="shared" si="80"/>
        <v>13</v>
      </c>
      <c r="G431" s="223" t="str">
        <f t="shared" si="81"/>
        <v>10</v>
      </c>
      <c r="H431" s="224">
        <f t="shared" si="82"/>
        <v>10</v>
      </c>
      <c r="I431" s="223" t="str">
        <f t="shared" si="83"/>
        <v>25 min.</v>
      </c>
      <c r="J431" s="223" t="str">
        <f t="shared" si="84"/>
        <v>25</v>
      </c>
      <c r="K431" s="224">
        <f t="shared" si="85"/>
        <v>25</v>
      </c>
      <c r="L431" s="223" t="str">
        <f t="shared" si="86"/>
        <v>10:25</v>
      </c>
      <c r="M431" s="225">
        <f t="shared" si="87"/>
        <v>0.43402777777777773</v>
      </c>
      <c r="N431" s="197" t="s">
        <v>1232</v>
      </c>
      <c r="O431" s="196" t="s">
        <v>274</v>
      </c>
      <c r="P431" s="197" t="s">
        <v>546</v>
      </c>
      <c r="Q431" s="197" t="s">
        <v>276</v>
      </c>
    </row>
    <row r="432" spans="1:17" s="198" customFormat="1">
      <c r="A432" s="13">
        <v>432</v>
      </c>
      <c r="B432" s="196" t="s">
        <v>1233</v>
      </c>
      <c r="C432" s="196" t="s">
        <v>1225</v>
      </c>
      <c r="D432" s="196" t="s">
        <v>1234</v>
      </c>
      <c r="E432" s="196" t="s">
        <v>1235</v>
      </c>
      <c r="F432" s="222">
        <f t="shared" si="80"/>
        <v>13</v>
      </c>
      <c r="G432" s="223" t="str">
        <f t="shared" si="81"/>
        <v>17</v>
      </c>
      <c r="H432" s="224">
        <f t="shared" si="82"/>
        <v>17</v>
      </c>
      <c r="I432" s="223" t="str">
        <f t="shared" si="83"/>
        <v>10 min.</v>
      </c>
      <c r="J432" s="223" t="str">
        <f t="shared" si="84"/>
        <v>10</v>
      </c>
      <c r="K432" s="224">
        <f t="shared" si="85"/>
        <v>10</v>
      </c>
      <c r="L432" s="223" t="str">
        <f t="shared" si="86"/>
        <v>17:10</v>
      </c>
      <c r="M432" s="225">
        <f t="shared" si="87"/>
        <v>0.71527777777777779</v>
      </c>
      <c r="N432" s="197" t="s">
        <v>1236</v>
      </c>
      <c r="O432" s="196" t="s">
        <v>274</v>
      </c>
      <c r="P432" s="197" t="s">
        <v>546</v>
      </c>
      <c r="Q432" s="197" t="s">
        <v>276</v>
      </c>
    </row>
    <row r="433" spans="1:17" s="198" customFormat="1">
      <c r="A433" s="13">
        <v>433</v>
      </c>
      <c r="B433" s="196" t="s">
        <v>1237</v>
      </c>
      <c r="C433" s="196" t="s">
        <v>1238</v>
      </c>
      <c r="D433" s="196" t="s">
        <v>1239</v>
      </c>
      <c r="E433" s="196" t="s">
        <v>1240</v>
      </c>
      <c r="F433" s="222">
        <f t="shared" si="80"/>
        <v>13</v>
      </c>
      <c r="G433" s="223" t="str">
        <f t="shared" si="81"/>
        <v>15</v>
      </c>
      <c r="H433" s="224">
        <f t="shared" si="82"/>
        <v>15</v>
      </c>
      <c r="I433" s="223" t="str">
        <f t="shared" si="83"/>
        <v>46 min.</v>
      </c>
      <c r="J433" s="223" t="str">
        <f t="shared" si="84"/>
        <v>46</v>
      </c>
      <c r="K433" s="224">
        <f t="shared" si="85"/>
        <v>46</v>
      </c>
      <c r="L433" s="223" t="str">
        <f t="shared" si="86"/>
        <v>15:46</v>
      </c>
      <c r="M433" s="225">
        <f t="shared" si="87"/>
        <v>0.65694444444444444</v>
      </c>
      <c r="N433" s="197" t="s">
        <v>1223</v>
      </c>
      <c r="O433" s="196" t="s">
        <v>1241</v>
      </c>
      <c r="P433" s="197" t="s">
        <v>546</v>
      </c>
      <c r="Q433" s="197" t="s">
        <v>276</v>
      </c>
    </row>
    <row r="434" spans="1:17" s="198" customFormat="1">
      <c r="A434" s="13">
        <v>434</v>
      </c>
      <c r="B434" s="196" t="s">
        <v>1242</v>
      </c>
      <c r="C434" s="196" t="s">
        <v>1243</v>
      </c>
      <c r="D434" s="196" t="s">
        <v>1244</v>
      </c>
      <c r="E434" s="196" t="s">
        <v>1245</v>
      </c>
      <c r="F434" s="222">
        <f t="shared" si="80"/>
        <v>13</v>
      </c>
      <c r="G434" s="223" t="str">
        <f t="shared" si="81"/>
        <v>10</v>
      </c>
      <c r="H434" s="224">
        <f t="shared" si="82"/>
        <v>10</v>
      </c>
      <c r="I434" s="223" t="str">
        <f t="shared" si="83"/>
        <v>04 min.</v>
      </c>
      <c r="J434" s="223" t="str">
        <f t="shared" si="84"/>
        <v>04</v>
      </c>
      <c r="K434" s="224">
        <f t="shared" si="85"/>
        <v>4</v>
      </c>
      <c r="L434" s="223" t="str">
        <f t="shared" si="86"/>
        <v>10:4</v>
      </c>
      <c r="M434" s="225">
        <f t="shared" si="87"/>
        <v>0.41944444444444445</v>
      </c>
      <c r="N434" s="197" t="s">
        <v>1246</v>
      </c>
      <c r="O434" s="196" t="s">
        <v>274</v>
      </c>
      <c r="P434" s="197" t="s">
        <v>546</v>
      </c>
      <c r="Q434" s="197" t="s">
        <v>276</v>
      </c>
    </row>
    <row r="435" spans="1:17" s="198" customFormat="1">
      <c r="A435" s="13">
        <v>435</v>
      </c>
      <c r="B435" s="196" t="s">
        <v>1247</v>
      </c>
      <c r="C435" s="196" t="s">
        <v>982</v>
      </c>
      <c r="D435" s="196" t="s">
        <v>1248</v>
      </c>
      <c r="E435" s="196" t="s">
        <v>735</v>
      </c>
      <c r="F435" s="222">
        <f t="shared" si="80"/>
        <v>12</v>
      </c>
      <c r="G435" s="223" t="str">
        <f t="shared" si="81"/>
        <v>6</v>
      </c>
      <c r="H435" s="224">
        <f t="shared" si="82"/>
        <v>6</v>
      </c>
      <c r="I435" s="223" t="str">
        <f t="shared" si="83"/>
        <v>24 min.</v>
      </c>
      <c r="J435" s="223" t="str">
        <f t="shared" si="84"/>
        <v>24</v>
      </c>
      <c r="K435" s="224">
        <f t="shared" si="85"/>
        <v>24</v>
      </c>
      <c r="L435" s="223" t="str">
        <f t="shared" si="86"/>
        <v>6:24</v>
      </c>
      <c r="M435" s="225">
        <f t="shared" si="87"/>
        <v>0.26666666666666666</v>
      </c>
      <c r="N435" s="197" t="s">
        <v>1249</v>
      </c>
      <c r="O435" s="196" t="s">
        <v>286</v>
      </c>
      <c r="P435" s="197" t="s">
        <v>546</v>
      </c>
      <c r="Q435" s="197" t="s">
        <v>276</v>
      </c>
    </row>
    <row r="436" spans="1:17" s="198" customFormat="1">
      <c r="A436" s="13">
        <v>436</v>
      </c>
      <c r="B436" s="196" t="s">
        <v>1250</v>
      </c>
      <c r="C436" s="196" t="s">
        <v>1251</v>
      </c>
      <c r="D436" s="196" t="s">
        <v>1252</v>
      </c>
      <c r="E436" s="196" t="s">
        <v>1253</v>
      </c>
      <c r="F436" s="222">
        <f t="shared" si="80"/>
        <v>13</v>
      </c>
      <c r="G436" s="223" t="str">
        <f t="shared" si="81"/>
        <v>12</v>
      </c>
      <c r="H436" s="224">
        <f t="shared" si="82"/>
        <v>12</v>
      </c>
      <c r="I436" s="223" t="str">
        <f t="shared" si="83"/>
        <v>01 min.</v>
      </c>
      <c r="J436" s="223" t="str">
        <f t="shared" si="84"/>
        <v>01</v>
      </c>
      <c r="K436" s="224">
        <f t="shared" si="85"/>
        <v>1</v>
      </c>
      <c r="L436" s="223" t="str">
        <f t="shared" si="86"/>
        <v>12:1</v>
      </c>
      <c r="M436" s="225">
        <f t="shared" si="87"/>
        <v>0.50069444444444444</v>
      </c>
      <c r="N436" s="197" t="s">
        <v>1254</v>
      </c>
      <c r="O436" s="196" t="s">
        <v>286</v>
      </c>
      <c r="P436" s="197" t="s">
        <v>546</v>
      </c>
      <c r="Q436" s="197" t="s">
        <v>276</v>
      </c>
    </row>
    <row r="437" spans="1:17" s="198" customFormat="1">
      <c r="A437" s="13">
        <v>437</v>
      </c>
      <c r="B437" s="196" t="s">
        <v>1255</v>
      </c>
      <c r="C437" s="196" t="s">
        <v>1256</v>
      </c>
      <c r="D437" s="196" t="s">
        <v>1257</v>
      </c>
      <c r="E437" s="196" t="s">
        <v>1258</v>
      </c>
      <c r="F437" s="222">
        <f t="shared" si="80"/>
        <v>12</v>
      </c>
      <c r="G437" s="223" t="str">
        <f t="shared" si="81"/>
        <v>7</v>
      </c>
      <c r="H437" s="224">
        <f t="shared" si="82"/>
        <v>7</v>
      </c>
      <c r="I437" s="223" t="str">
        <f t="shared" si="83"/>
        <v>08 min.</v>
      </c>
      <c r="J437" s="223" t="str">
        <f t="shared" si="84"/>
        <v>08</v>
      </c>
      <c r="K437" s="224">
        <f t="shared" si="85"/>
        <v>8</v>
      </c>
      <c r="L437" s="223" t="str">
        <f t="shared" si="86"/>
        <v>7:8</v>
      </c>
      <c r="M437" s="225">
        <f t="shared" si="87"/>
        <v>0.29722222222222222</v>
      </c>
      <c r="N437" s="197" t="s">
        <v>601</v>
      </c>
      <c r="O437" s="196" t="s">
        <v>310</v>
      </c>
      <c r="P437" s="197" t="s">
        <v>546</v>
      </c>
      <c r="Q437" s="197" t="s">
        <v>276</v>
      </c>
    </row>
    <row r="438" spans="1:17" s="198" customFormat="1">
      <c r="A438" s="13">
        <v>438</v>
      </c>
      <c r="B438" s="196" t="s">
        <v>1259</v>
      </c>
      <c r="C438" s="196" t="s">
        <v>1260</v>
      </c>
      <c r="D438" s="196" t="s">
        <v>1261</v>
      </c>
      <c r="E438" s="196" t="s">
        <v>1262</v>
      </c>
      <c r="F438" s="222">
        <f t="shared" si="80"/>
        <v>12</v>
      </c>
      <c r="G438" s="223" t="str">
        <f t="shared" si="81"/>
        <v>7</v>
      </c>
      <c r="H438" s="224">
        <f t="shared" si="82"/>
        <v>7</v>
      </c>
      <c r="I438" s="223" t="str">
        <f t="shared" si="83"/>
        <v>52 min.</v>
      </c>
      <c r="J438" s="223" t="str">
        <f t="shared" si="84"/>
        <v>52</v>
      </c>
      <c r="K438" s="224">
        <f t="shared" si="85"/>
        <v>52</v>
      </c>
      <c r="L438" s="223" t="str">
        <f t="shared" si="86"/>
        <v>7:52</v>
      </c>
      <c r="M438" s="225">
        <f t="shared" si="87"/>
        <v>0.32777777777777778</v>
      </c>
      <c r="N438" s="197" t="s">
        <v>1263</v>
      </c>
      <c r="O438" s="196" t="s">
        <v>829</v>
      </c>
      <c r="P438" s="197" t="s">
        <v>546</v>
      </c>
      <c r="Q438" s="197" t="s">
        <v>276</v>
      </c>
    </row>
    <row r="439" spans="1:17" s="198" customFormat="1">
      <c r="A439" s="13">
        <v>439</v>
      </c>
      <c r="B439" s="196" t="s">
        <v>1264</v>
      </c>
      <c r="C439" s="196" t="s">
        <v>1265</v>
      </c>
      <c r="D439" s="196" t="s">
        <v>1266</v>
      </c>
      <c r="E439" s="196" t="s">
        <v>1267</v>
      </c>
      <c r="F439" s="222">
        <f t="shared" si="80"/>
        <v>12</v>
      </c>
      <c r="G439" s="223" t="str">
        <f t="shared" si="81"/>
        <v>9</v>
      </c>
      <c r="H439" s="224">
        <f t="shared" si="82"/>
        <v>9</v>
      </c>
      <c r="I439" s="223" t="str">
        <f t="shared" si="83"/>
        <v>37 min.</v>
      </c>
      <c r="J439" s="223" t="str">
        <f t="shared" si="84"/>
        <v>37</v>
      </c>
      <c r="K439" s="224">
        <f t="shared" si="85"/>
        <v>37</v>
      </c>
      <c r="L439" s="223" t="str">
        <f t="shared" si="86"/>
        <v>9:37</v>
      </c>
      <c r="M439" s="225">
        <f t="shared" si="87"/>
        <v>0.40069444444444446</v>
      </c>
      <c r="N439" s="197" t="s">
        <v>717</v>
      </c>
      <c r="O439" s="196" t="s">
        <v>274</v>
      </c>
      <c r="P439" s="197" t="s">
        <v>546</v>
      </c>
      <c r="Q439" s="197" t="s">
        <v>276</v>
      </c>
    </row>
    <row r="440" spans="1:17" s="198" customFormat="1">
      <c r="A440" s="13">
        <v>440</v>
      </c>
      <c r="B440" s="196" t="s">
        <v>1268</v>
      </c>
      <c r="C440" s="196" t="s">
        <v>1265</v>
      </c>
      <c r="D440" s="196" t="s">
        <v>1269</v>
      </c>
      <c r="E440" s="196" t="s">
        <v>1270</v>
      </c>
      <c r="F440" s="222">
        <f t="shared" si="80"/>
        <v>12</v>
      </c>
      <c r="G440" s="223" t="str">
        <f t="shared" si="81"/>
        <v>5</v>
      </c>
      <c r="H440" s="224">
        <f t="shared" si="82"/>
        <v>5</v>
      </c>
      <c r="I440" s="223" t="str">
        <f t="shared" si="83"/>
        <v>41 min.</v>
      </c>
      <c r="J440" s="223" t="str">
        <f t="shared" si="84"/>
        <v>41</v>
      </c>
      <c r="K440" s="224">
        <f t="shared" si="85"/>
        <v>41</v>
      </c>
      <c r="L440" s="223" t="str">
        <f t="shared" si="86"/>
        <v>5:41</v>
      </c>
      <c r="M440" s="225">
        <f t="shared" si="87"/>
        <v>0.23680555555555557</v>
      </c>
      <c r="N440" s="197" t="s">
        <v>1271</v>
      </c>
      <c r="O440" s="196" t="s">
        <v>274</v>
      </c>
      <c r="P440" s="197" t="s">
        <v>546</v>
      </c>
      <c r="Q440" s="197" t="s">
        <v>276</v>
      </c>
    </row>
    <row r="441" spans="1:17" s="198" customFormat="1">
      <c r="A441" s="13">
        <v>441</v>
      </c>
      <c r="B441" s="196" t="s">
        <v>1811</v>
      </c>
      <c r="C441" s="196" t="s">
        <v>1301</v>
      </c>
      <c r="D441" s="196" t="s">
        <v>1812</v>
      </c>
      <c r="E441" s="196" t="s">
        <v>1813</v>
      </c>
      <c r="F441" s="222">
        <f t="shared" si="80"/>
        <v>12</v>
      </c>
      <c r="G441" s="223" t="str">
        <f t="shared" si="81"/>
        <v>3</v>
      </c>
      <c r="H441" s="224">
        <f t="shared" si="82"/>
        <v>3</v>
      </c>
      <c r="I441" s="223" t="str">
        <f t="shared" si="83"/>
        <v>23 min.</v>
      </c>
      <c r="J441" s="223" t="str">
        <f t="shared" si="84"/>
        <v>23</v>
      </c>
      <c r="K441" s="224">
        <f t="shared" si="85"/>
        <v>23</v>
      </c>
      <c r="L441" s="223" t="str">
        <f t="shared" si="86"/>
        <v>3:23</v>
      </c>
      <c r="M441" s="225">
        <f t="shared" si="87"/>
        <v>0.14097222222222222</v>
      </c>
      <c r="N441" s="197" t="s">
        <v>601</v>
      </c>
      <c r="O441" s="196" t="s">
        <v>274</v>
      </c>
      <c r="P441" s="197" t="s">
        <v>546</v>
      </c>
      <c r="Q441" s="197" t="s">
        <v>276</v>
      </c>
    </row>
    <row r="442" spans="1:17" s="198" customFormat="1">
      <c r="A442" s="13">
        <v>442</v>
      </c>
      <c r="B442" s="196" t="s">
        <v>1814</v>
      </c>
      <c r="C442" s="196" t="s">
        <v>1301</v>
      </c>
      <c r="D442" s="196" t="s">
        <v>1815</v>
      </c>
      <c r="E442" s="196" t="s">
        <v>1816</v>
      </c>
      <c r="F442" s="222">
        <f t="shared" si="80"/>
        <v>12</v>
      </c>
      <c r="G442" s="223" t="str">
        <f t="shared" si="81"/>
        <v>4</v>
      </c>
      <c r="H442" s="224">
        <f t="shared" si="82"/>
        <v>4</v>
      </c>
      <c r="I442" s="223" t="str">
        <f t="shared" si="83"/>
        <v>44 min.</v>
      </c>
      <c r="J442" s="223" t="str">
        <f t="shared" si="84"/>
        <v>44</v>
      </c>
      <c r="K442" s="224">
        <f t="shared" si="85"/>
        <v>44</v>
      </c>
      <c r="L442" s="223" t="str">
        <f t="shared" si="86"/>
        <v>4:44</v>
      </c>
      <c r="M442" s="225">
        <f t="shared" si="87"/>
        <v>0.19722222222222222</v>
      </c>
      <c r="N442" s="197" t="s">
        <v>1817</v>
      </c>
      <c r="O442" s="196" t="s">
        <v>274</v>
      </c>
      <c r="P442" s="197" t="s">
        <v>546</v>
      </c>
      <c r="Q442" s="197" t="s">
        <v>276</v>
      </c>
    </row>
    <row r="443" spans="1:17" s="198" customFormat="1">
      <c r="A443" s="13">
        <v>443</v>
      </c>
      <c r="B443" s="196" t="s">
        <v>1818</v>
      </c>
      <c r="C443" s="196" t="s">
        <v>1819</v>
      </c>
      <c r="D443" s="196" t="s">
        <v>1820</v>
      </c>
      <c r="E443" s="196" t="s">
        <v>1821</v>
      </c>
      <c r="F443" s="222">
        <f t="shared" si="80"/>
        <v>13</v>
      </c>
      <c r="G443" s="223" t="str">
        <f t="shared" si="81"/>
        <v>11</v>
      </c>
      <c r="H443" s="224">
        <f t="shared" si="82"/>
        <v>11</v>
      </c>
      <c r="I443" s="223" t="str">
        <f t="shared" si="83"/>
        <v>52 min.</v>
      </c>
      <c r="J443" s="223" t="str">
        <f t="shared" si="84"/>
        <v>52</v>
      </c>
      <c r="K443" s="224">
        <f t="shared" si="85"/>
        <v>52</v>
      </c>
      <c r="L443" s="223" t="str">
        <f t="shared" si="86"/>
        <v>11:52</v>
      </c>
      <c r="M443" s="225">
        <f t="shared" si="87"/>
        <v>0.49444444444444446</v>
      </c>
      <c r="N443" s="197" t="s">
        <v>1822</v>
      </c>
      <c r="O443" s="196" t="s">
        <v>286</v>
      </c>
      <c r="P443" s="197" t="s">
        <v>546</v>
      </c>
      <c r="Q443" s="197" t="s">
        <v>276</v>
      </c>
    </row>
    <row r="444" spans="1:17" s="198" customFormat="1">
      <c r="A444" s="13">
        <v>444</v>
      </c>
      <c r="B444" s="196" t="s">
        <v>1827</v>
      </c>
      <c r="C444" s="196" t="s">
        <v>1828</v>
      </c>
      <c r="D444" s="196" t="s">
        <v>1829</v>
      </c>
      <c r="E444" s="196" t="s">
        <v>1830</v>
      </c>
      <c r="F444" s="222">
        <f t="shared" si="80"/>
        <v>12</v>
      </c>
      <c r="G444" s="223" t="str">
        <f t="shared" si="81"/>
        <v>2</v>
      </c>
      <c r="H444" s="224">
        <f t="shared" si="82"/>
        <v>2</v>
      </c>
      <c r="I444" s="223" t="str">
        <f t="shared" si="83"/>
        <v>44 min.</v>
      </c>
      <c r="J444" s="223" t="str">
        <f t="shared" si="84"/>
        <v>44</v>
      </c>
      <c r="K444" s="224">
        <f t="shared" si="85"/>
        <v>44</v>
      </c>
      <c r="L444" s="223" t="str">
        <f t="shared" si="86"/>
        <v>2:44</v>
      </c>
      <c r="M444" s="225">
        <f t="shared" si="87"/>
        <v>0.11388888888888889</v>
      </c>
      <c r="N444" s="197" t="s">
        <v>1831</v>
      </c>
      <c r="O444" s="196" t="s">
        <v>274</v>
      </c>
      <c r="P444" s="197" t="s">
        <v>546</v>
      </c>
      <c r="Q444" s="197" t="s">
        <v>276</v>
      </c>
    </row>
    <row r="445" spans="1:17" s="198" customFormat="1">
      <c r="A445" s="13">
        <v>445</v>
      </c>
      <c r="B445" s="196" t="s">
        <v>1832</v>
      </c>
      <c r="C445" s="196" t="s">
        <v>1828</v>
      </c>
      <c r="D445" s="196" t="s">
        <v>1833</v>
      </c>
      <c r="E445" s="196" t="s">
        <v>1834</v>
      </c>
      <c r="F445" s="222">
        <f t="shared" si="80"/>
        <v>12</v>
      </c>
      <c r="G445" s="223" t="str">
        <f t="shared" si="81"/>
        <v>5</v>
      </c>
      <c r="H445" s="224">
        <f t="shared" si="82"/>
        <v>5</v>
      </c>
      <c r="I445" s="223" t="str">
        <f t="shared" si="83"/>
        <v>04 min.</v>
      </c>
      <c r="J445" s="223" t="str">
        <f t="shared" si="84"/>
        <v>04</v>
      </c>
      <c r="K445" s="224">
        <f t="shared" si="85"/>
        <v>4</v>
      </c>
      <c r="L445" s="223" t="str">
        <f t="shared" si="86"/>
        <v>5:4</v>
      </c>
      <c r="M445" s="225">
        <f t="shared" si="87"/>
        <v>0.21111111111111111</v>
      </c>
      <c r="N445" s="197" t="s">
        <v>1835</v>
      </c>
      <c r="O445" s="196" t="s">
        <v>274</v>
      </c>
      <c r="P445" s="197" t="s">
        <v>546</v>
      </c>
      <c r="Q445" s="197" t="s">
        <v>276</v>
      </c>
    </row>
    <row r="446" spans="1:17" s="198" customFormat="1">
      <c r="A446" s="13">
        <v>446</v>
      </c>
      <c r="B446" s="196" t="s">
        <v>1836</v>
      </c>
      <c r="C446" s="196" t="s">
        <v>1828</v>
      </c>
      <c r="D446" s="196" t="s">
        <v>1837</v>
      </c>
      <c r="E446" s="196" t="s">
        <v>1838</v>
      </c>
      <c r="F446" s="222">
        <f t="shared" si="80"/>
        <v>12</v>
      </c>
      <c r="G446" s="223" t="str">
        <f t="shared" si="81"/>
        <v>3</v>
      </c>
      <c r="H446" s="224">
        <f t="shared" si="82"/>
        <v>3</v>
      </c>
      <c r="I446" s="223" t="str">
        <f t="shared" si="83"/>
        <v>59 min.</v>
      </c>
      <c r="J446" s="223" t="str">
        <f t="shared" si="84"/>
        <v>59</v>
      </c>
      <c r="K446" s="224">
        <f t="shared" si="85"/>
        <v>59</v>
      </c>
      <c r="L446" s="223" t="str">
        <f t="shared" si="86"/>
        <v>3:59</v>
      </c>
      <c r="M446" s="225">
        <f t="shared" si="87"/>
        <v>0.16597222222222222</v>
      </c>
      <c r="N446" s="197" t="s">
        <v>1839</v>
      </c>
      <c r="O446" s="196" t="s">
        <v>274</v>
      </c>
      <c r="P446" s="197" t="s">
        <v>546</v>
      </c>
      <c r="Q446" s="197" t="s">
        <v>276</v>
      </c>
    </row>
    <row r="447" spans="1:17" s="198" customFormat="1">
      <c r="A447" s="13">
        <v>447</v>
      </c>
      <c r="B447" s="196" t="s">
        <v>1840</v>
      </c>
      <c r="C447" s="196" t="s">
        <v>1841</v>
      </c>
      <c r="D447" s="196" t="s">
        <v>1842</v>
      </c>
      <c r="E447" s="196" t="s">
        <v>1843</v>
      </c>
      <c r="F447" s="222">
        <f t="shared" si="80"/>
        <v>13</v>
      </c>
      <c r="G447" s="223" t="str">
        <f t="shared" si="81"/>
        <v>13</v>
      </c>
      <c r="H447" s="224">
        <f t="shared" si="82"/>
        <v>13</v>
      </c>
      <c r="I447" s="223" t="str">
        <f t="shared" si="83"/>
        <v>06 min.</v>
      </c>
      <c r="J447" s="223" t="str">
        <f t="shared" si="84"/>
        <v>06</v>
      </c>
      <c r="K447" s="224">
        <f t="shared" si="85"/>
        <v>6</v>
      </c>
      <c r="L447" s="223" t="str">
        <f t="shared" si="86"/>
        <v>13:6</v>
      </c>
      <c r="M447" s="225">
        <f t="shared" si="87"/>
        <v>0.54583333333333328</v>
      </c>
      <c r="N447" s="197" t="s">
        <v>1844</v>
      </c>
      <c r="O447" s="196" t="s">
        <v>829</v>
      </c>
      <c r="P447" s="197" t="s">
        <v>546</v>
      </c>
      <c r="Q447" s="197" t="s">
        <v>276</v>
      </c>
    </row>
    <row r="448" spans="1:17" s="198" customFormat="1">
      <c r="A448" s="13">
        <v>448</v>
      </c>
      <c r="B448" s="196" t="s">
        <v>1845</v>
      </c>
      <c r="C448" s="196" t="s">
        <v>1846</v>
      </c>
      <c r="D448" s="196" t="s">
        <v>1847</v>
      </c>
      <c r="E448" s="196" t="s">
        <v>1848</v>
      </c>
      <c r="F448" s="222">
        <f t="shared" si="80"/>
        <v>12</v>
      </c>
      <c r="G448" s="223" t="str">
        <f t="shared" si="81"/>
        <v>4</v>
      </c>
      <c r="H448" s="224">
        <f t="shared" si="82"/>
        <v>4</v>
      </c>
      <c r="I448" s="223" t="str">
        <f t="shared" si="83"/>
        <v>32 min.</v>
      </c>
      <c r="J448" s="223" t="str">
        <f t="shared" si="84"/>
        <v>32</v>
      </c>
      <c r="K448" s="224">
        <f t="shared" si="85"/>
        <v>32</v>
      </c>
      <c r="L448" s="223" t="str">
        <f t="shared" si="86"/>
        <v>4:32</v>
      </c>
      <c r="M448" s="225">
        <f t="shared" si="87"/>
        <v>0.18888888888888888</v>
      </c>
      <c r="N448" s="197" t="s">
        <v>591</v>
      </c>
      <c r="O448" s="196" t="s">
        <v>274</v>
      </c>
      <c r="P448" s="197" t="s">
        <v>546</v>
      </c>
      <c r="Q448" s="197" t="s">
        <v>276</v>
      </c>
    </row>
    <row r="449" spans="1:17" s="198" customFormat="1">
      <c r="A449" s="13">
        <v>449</v>
      </c>
      <c r="B449" s="196" t="s">
        <v>1849</v>
      </c>
      <c r="C449" s="196" t="s">
        <v>1850</v>
      </c>
      <c r="D449" s="196" t="s">
        <v>1851</v>
      </c>
      <c r="E449" s="196" t="s">
        <v>1852</v>
      </c>
      <c r="F449" s="222">
        <f t="shared" si="80"/>
        <v>12</v>
      </c>
      <c r="G449" s="223" t="str">
        <f t="shared" si="81"/>
        <v>3</v>
      </c>
      <c r="H449" s="224">
        <f t="shared" si="82"/>
        <v>3</v>
      </c>
      <c r="I449" s="223" t="str">
        <f t="shared" si="83"/>
        <v>24 min.</v>
      </c>
      <c r="J449" s="223" t="str">
        <f t="shared" si="84"/>
        <v>24</v>
      </c>
      <c r="K449" s="224">
        <f t="shared" si="85"/>
        <v>24</v>
      </c>
      <c r="L449" s="223" t="str">
        <f t="shared" si="86"/>
        <v>3:24</v>
      </c>
      <c r="M449" s="225">
        <f t="shared" si="87"/>
        <v>0.14166666666666666</v>
      </c>
      <c r="N449" s="197" t="s">
        <v>1853</v>
      </c>
      <c r="O449" s="196" t="s">
        <v>811</v>
      </c>
      <c r="P449" s="197" t="s">
        <v>546</v>
      </c>
      <c r="Q449" s="197" t="s">
        <v>276</v>
      </c>
    </row>
    <row r="450" spans="1:17" s="198" customFormat="1">
      <c r="A450" s="13">
        <v>450</v>
      </c>
      <c r="B450" s="196" t="s">
        <v>1854</v>
      </c>
      <c r="C450" s="196" t="s">
        <v>1855</v>
      </c>
      <c r="D450" s="196" t="s">
        <v>1856</v>
      </c>
      <c r="E450" s="196" t="s">
        <v>600</v>
      </c>
      <c r="F450" s="222">
        <f t="shared" si="80"/>
        <v>12</v>
      </c>
      <c r="G450" s="223" t="str">
        <f t="shared" si="81"/>
        <v>6</v>
      </c>
      <c r="H450" s="224">
        <f t="shared" si="82"/>
        <v>6</v>
      </c>
      <c r="I450" s="223" t="str">
        <f t="shared" si="83"/>
        <v>27 min.</v>
      </c>
      <c r="J450" s="223" t="str">
        <f t="shared" si="84"/>
        <v>27</v>
      </c>
      <c r="K450" s="224">
        <f t="shared" si="85"/>
        <v>27</v>
      </c>
      <c r="L450" s="223" t="str">
        <f t="shared" si="86"/>
        <v>6:27</v>
      </c>
      <c r="M450" s="225">
        <f t="shared" si="87"/>
        <v>0.26874999999999999</v>
      </c>
      <c r="N450" s="197" t="s">
        <v>566</v>
      </c>
      <c r="O450" s="196" t="s">
        <v>274</v>
      </c>
      <c r="P450" s="197" t="s">
        <v>546</v>
      </c>
      <c r="Q450" s="197" t="s">
        <v>276</v>
      </c>
    </row>
    <row r="451" spans="1:17" s="198" customFormat="1">
      <c r="A451" s="13">
        <v>451</v>
      </c>
      <c r="B451" s="196" t="s">
        <v>1857</v>
      </c>
      <c r="C451" s="196" t="s">
        <v>1858</v>
      </c>
      <c r="D451" s="196" t="s">
        <v>1859</v>
      </c>
      <c r="E451" s="196" t="s">
        <v>1860</v>
      </c>
      <c r="F451" s="222">
        <f t="shared" si="80"/>
        <v>13</v>
      </c>
      <c r="G451" s="223" t="str">
        <f t="shared" si="81"/>
        <v>23</v>
      </c>
      <c r="H451" s="224">
        <f t="shared" si="82"/>
        <v>23</v>
      </c>
      <c r="I451" s="223" t="str">
        <f t="shared" si="83"/>
        <v>46 min.</v>
      </c>
      <c r="J451" s="223" t="str">
        <f t="shared" si="84"/>
        <v>46</v>
      </c>
      <c r="K451" s="224">
        <f t="shared" si="85"/>
        <v>46</v>
      </c>
      <c r="L451" s="223" t="str">
        <f t="shared" si="86"/>
        <v>23:46</v>
      </c>
      <c r="M451" s="225">
        <f t="shared" si="87"/>
        <v>0.9902777777777777</v>
      </c>
      <c r="N451" s="197" t="s">
        <v>1861</v>
      </c>
      <c r="O451" s="196" t="s">
        <v>303</v>
      </c>
      <c r="P451" s="197" t="s">
        <v>546</v>
      </c>
      <c r="Q451" s="197" t="s">
        <v>276</v>
      </c>
    </row>
    <row r="452" spans="1:17" s="198" customFormat="1">
      <c r="A452" s="13">
        <v>452</v>
      </c>
      <c r="B452" s="196" t="s">
        <v>1862</v>
      </c>
      <c r="C452" s="196" t="s">
        <v>1863</v>
      </c>
      <c r="D452" s="196" t="s">
        <v>1864</v>
      </c>
      <c r="E452" s="196" t="s">
        <v>1865</v>
      </c>
      <c r="F452" s="222">
        <f t="shared" si="80"/>
        <v>12</v>
      </c>
      <c r="G452" s="223" t="str">
        <f t="shared" si="81"/>
        <v>9</v>
      </c>
      <c r="H452" s="224">
        <f t="shared" si="82"/>
        <v>9</v>
      </c>
      <c r="I452" s="223" t="str">
        <f t="shared" si="83"/>
        <v>32 min.</v>
      </c>
      <c r="J452" s="223" t="str">
        <f t="shared" si="84"/>
        <v>32</v>
      </c>
      <c r="K452" s="224">
        <f t="shared" si="85"/>
        <v>32</v>
      </c>
      <c r="L452" s="223" t="str">
        <f t="shared" si="86"/>
        <v>9:32</v>
      </c>
      <c r="M452" s="225">
        <f t="shared" si="87"/>
        <v>0.3972222222222222</v>
      </c>
      <c r="N452" s="197" t="s">
        <v>1866</v>
      </c>
      <c r="O452" s="196" t="s">
        <v>274</v>
      </c>
      <c r="P452" s="197" t="s">
        <v>546</v>
      </c>
      <c r="Q452" s="197" t="s">
        <v>276</v>
      </c>
    </row>
    <row r="453" spans="1:17" s="198" customFormat="1">
      <c r="A453" s="13">
        <v>453</v>
      </c>
      <c r="B453" s="196" t="s">
        <v>1867</v>
      </c>
      <c r="C453" s="196" t="s">
        <v>1868</v>
      </c>
      <c r="D453" s="196" t="s">
        <v>1869</v>
      </c>
      <c r="E453" s="196" t="s">
        <v>1870</v>
      </c>
      <c r="F453" s="222">
        <f t="shared" si="80"/>
        <v>13</v>
      </c>
      <c r="G453" s="223" t="str">
        <f t="shared" si="81"/>
        <v>13</v>
      </c>
      <c r="H453" s="224">
        <f t="shared" si="82"/>
        <v>13</v>
      </c>
      <c r="I453" s="223" t="str">
        <f t="shared" si="83"/>
        <v>54 min.</v>
      </c>
      <c r="J453" s="223" t="str">
        <f t="shared" si="84"/>
        <v>54</v>
      </c>
      <c r="K453" s="224">
        <f t="shared" si="85"/>
        <v>54</v>
      </c>
      <c r="L453" s="223" t="str">
        <f t="shared" si="86"/>
        <v>13:54</v>
      </c>
      <c r="M453" s="225">
        <f t="shared" si="87"/>
        <v>0.57916666666666672</v>
      </c>
      <c r="N453" s="197" t="s">
        <v>1871</v>
      </c>
      <c r="O453" s="196" t="s">
        <v>274</v>
      </c>
      <c r="P453" s="197" t="s">
        <v>546</v>
      </c>
      <c r="Q453" s="197" t="s">
        <v>276</v>
      </c>
    </row>
    <row r="454" spans="1:17" s="198" customFormat="1">
      <c r="A454" s="13">
        <v>454</v>
      </c>
      <c r="B454" s="196" t="s">
        <v>1872</v>
      </c>
      <c r="C454" s="196" t="s">
        <v>1315</v>
      </c>
      <c r="D454" s="196" t="s">
        <v>1873</v>
      </c>
      <c r="E454" s="196" t="s">
        <v>1874</v>
      </c>
      <c r="F454" s="222">
        <f t="shared" si="80"/>
        <v>12</v>
      </c>
      <c r="G454" s="223" t="str">
        <f t="shared" si="81"/>
        <v>5</v>
      </c>
      <c r="H454" s="224">
        <f t="shared" si="82"/>
        <v>5</v>
      </c>
      <c r="I454" s="223" t="str">
        <f t="shared" si="83"/>
        <v>31 min.</v>
      </c>
      <c r="J454" s="223" t="str">
        <f t="shared" si="84"/>
        <v>31</v>
      </c>
      <c r="K454" s="224">
        <f t="shared" si="85"/>
        <v>31</v>
      </c>
      <c r="L454" s="223" t="str">
        <f t="shared" si="86"/>
        <v>5:31</v>
      </c>
      <c r="M454" s="225">
        <f t="shared" si="87"/>
        <v>0.2298611111111111</v>
      </c>
      <c r="N454" s="197" t="s">
        <v>1875</v>
      </c>
      <c r="O454" s="196" t="s">
        <v>274</v>
      </c>
      <c r="P454" s="197" t="s">
        <v>546</v>
      </c>
      <c r="Q454" s="197" t="s">
        <v>276</v>
      </c>
    </row>
    <row r="455" spans="1:17" s="198" customFormat="1">
      <c r="A455" s="13">
        <v>455</v>
      </c>
      <c r="B455" s="196" t="s">
        <v>1876</v>
      </c>
      <c r="C455" s="196" t="s">
        <v>1877</v>
      </c>
      <c r="D455" s="196" t="s">
        <v>1878</v>
      </c>
      <c r="E455" s="196" t="s">
        <v>740</v>
      </c>
      <c r="F455" s="222">
        <f t="shared" ref="F455:F483" si="88">LEN(E455)</f>
        <v>12</v>
      </c>
      <c r="G455" s="223" t="str">
        <f t="shared" si="81"/>
        <v>7</v>
      </c>
      <c r="H455" s="224">
        <f t="shared" si="82"/>
        <v>7</v>
      </c>
      <c r="I455" s="223" t="str">
        <f t="shared" si="83"/>
        <v>41 min.</v>
      </c>
      <c r="J455" s="223" t="str">
        <f t="shared" si="84"/>
        <v>41</v>
      </c>
      <c r="K455" s="224">
        <f t="shared" si="85"/>
        <v>41</v>
      </c>
      <c r="L455" s="223" t="str">
        <f t="shared" si="86"/>
        <v>7:41</v>
      </c>
      <c r="M455" s="225">
        <f t="shared" si="87"/>
        <v>0.32013888888888892</v>
      </c>
      <c r="N455" s="197" t="s">
        <v>1879</v>
      </c>
      <c r="O455" s="196" t="s">
        <v>274</v>
      </c>
      <c r="P455" s="197" t="s">
        <v>546</v>
      </c>
      <c r="Q455" s="197" t="s">
        <v>276</v>
      </c>
    </row>
    <row r="456" spans="1:17" s="198" customFormat="1">
      <c r="A456" s="13">
        <v>456</v>
      </c>
      <c r="B456" s="196" t="s">
        <v>2302</v>
      </c>
      <c r="C456" s="196" t="s">
        <v>2303</v>
      </c>
      <c r="D456" s="196" t="s">
        <v>2304</v>
      </c>
      <c r="E456" s="196" t="s">
        <v>1628</v>
      </c>
      <c r="F456" s="222">
        <f t="shared" si="88"/>
        <v>13</v>
      </c>
      <c r="G456" s="223" t="str">
        <f t="shared" si="81"/>
        <v>11</v>
      </c>
      <c r="H456" s="224">
        <f t="shared" si="82"/>
        <v>11</v>
      </c>
      <c r="I456" s="223" t="str">
        <f t="shared" si="83"/>
        <v>46 min.</v>
      </c>
      <c r="J456" s="223" t="str">
        <f t="shared" si="84"/>
        <v>46</v>
      </c>
      <c r="K456" s="224">
        <f t="shared" si="85"/>
        <v>46</v>
      </c>
      <c r="L456" s="223" t="str">
        <f t="shared" si="86"/>
        <v>11:46</v>
      </c>
      <c r="M456" s="225">
        <f t="shared" si="87"/>
        <v>0.49027777777777781</v>
      </c>
      <c r="N456" s="197" t="s">
        <v>566</v>
      </c>
      <c r="O456" s="196" t="s">
        <v>274</v>
      </c>
      <c r="P456" s="197" t="s">
        <v>546</v>
      </c>
      <c r="Q456" s="197" t="s">
        <v>276</v>
      </c>
    </row>
    <row r="457" spans="1:17" s="198" customFormat="1">
      <c r="A457" s="13">
        <v>457</v>
      </c>
      <c r="B457" s="196" t="s">
        <v>2305</v>
      </c>
      <c r="C457" s="196" t="s">
        <v>2303</v>
      </c>
      <c r="D457" s="196" t="s">
        <v>2306</v>
      </c>
      <c r="E457" s="196" t="s">
        <v>2307</v>
      </c>
      <c r="F457" s="222">
        <f t="shared" si="88"/>
        <v>13</v>
      </c>
      <c r="G457" s="223" t="str">
        <f t="shared" si="81"/>
        <v>16</v>
      </c>
      <c r="H457" s="224">
        <f t="shared" si="82"/>
        <v>16</v>
      </c>
      <c r="I457" s="223" t="str">
        <f t="shared" si="83"/>
        <v>54 min.</v>
      </c>
      <c r="J457" s="223" t="str">
        <f t="shared" si="84"/>
        <v>54</v>
      </c>
      <c r="K457" s="224">
        <f t="shared" si="85"/>
        <v>54</v>
      </c>
      <c r="L457" s="223" t="str">
        <f t="shared" si="86"/>
        <v>16:54</v>
      </c>
      <c r="M457" s="225">
        <f t="shared" si="87"/>
        <v>0.70416666666666661</v>
      </c>
      <c r="N457" s="197" t="s">
        <v>2308</v>
      </c>
      <c r="O457" s="196" t="s">
        <v>303</v>
      </c>
      <c r="P457" s="197" t="s">
        <v>546</v>
      </c>
      <c r="Q457" s="197" t="s">
        <v>276</v>
      </c>
    </row>
    <row r="458" spans="1:17" s="198" customFormat="1">
      <c r="A458" s="13">
        <v>458</v>
      </c>
      <c r="B458" s="196" t="s">
        <v>2326</v>
      </c>
      <c r="C458" s="196" t="s">
        <v>2303</v>
      </c>
      <c r="D458" s="196" t="s">
        <v>2327</v>
      </c>
      <c r="E458" s="196" t="s">
        <v>2328</v>
      </c>
      <c r="F458" s="222">
        <f t="shared" si="88"/>
        <v>13</v>
      </c>
      <c r="G458" s="223" t="str">
        <f t="shared" si="81"/>
        <v>10</v>
      </c>
      <c r="H458" s="224">
        <f t="shared" si="82"/>
        <v>10</v>
      </c>
      <c r="I458" s="223" t="str">
        <f t="shared" si="83"/>
        <v>32 min.</v>
      </c>
      <c r="J458" s="223" t="str">
        <f t="shared" si="84"/>
        <v>32</v>
      </c>
      <c r="K458" s="224">
        <f t="shared" si="85"/>
        <v>32</v>
      </c>
      <c r="L458" s="223" t="str">
        <f t="shared" si="86"/>
        <v>10:32</v>
      </c>
      <c r="M458" s="225">
        <f t="shared" si="87"/>
        <v>0.43888888888888888</v>
      </c>
      <c r="N458" s="197" t="s">
        <v>2329</v>
      </c>
      <c r="O458" s="196" t="s">
        <v>274</v>
      </c>
      <c r="P458" s="197" t="s">
        <v>546</v>
      </c>
      <c r="Q458" s="197" t="s">
        <v>276</v>
      </c>
    </row>
    <row r="459" spans="1:17" s="198" customFormat="1">
      <c r="A459" s="13">
        <v>459</v>
      </c>
      <c r="B459" s="196" t="s">
        <v>2338</v>
      </c>
      <c r="C459" s="196" t="s">
        <v>2339</v>
      </c>
      <c r="D459" s="196" t="s">
        <v>2340</v>
      </c>
      <c r="E459" s="196" t="s">
        <v>2341</v>
      </c>
      <c r="F459" s="222">
        <f t="shared" si="88"/>
        <v>13</v>
      </c>
      <c r="G459" s="223" t="str">
        <f t="shared" si="81"/>
        <v>11</v>
      </c>
      <c r="H459" s="224">
        <f t="shared" si="82"/>
        <v>11</v>
      </c>
      <c r="I459" s="223" t="str">
        <f t="shared" si="83"/>
        <v>01 min.</v>
      </c>
      <c r="J459" s="223" t="str">
        <f t="shared" si="84"/>
        <v>01</v>
      </c>
      <c r="K459" s="224">
        <f t="shared" si="85"/>
        <v>1</v>
      </c>
      <c r="L459" s="223" t="str">
        <f t="shared" si="86"/>
        <v>11:1</v>
      </c>
      <c r="M459" s="225">
        <f t="shared" si="87"/>
        <v>0.45902777777777781</v>
      </c>
      <c r="N459" s="197" t="s">
        <v>2342</v>
      </c>
      <c r="O459" s="196" t="s">
        <v>371</v>
      </c>
      <c r="P459" s="197" t="s">
        <v>546</v>
      </c>
      <c r="Q459" s="197" t="s">
        <v>276</v>
      </c>
    </row>
    <row r="460" spans="1:17" s="198" customFormat="1">
      <c r="A460" s="13">
        <v>460</v>
      </c>
      <c r="B460" s="196" t="s">
        <v>2350</v>
      </c>
      <c r="C460" s="196" t="s">
        <v>2351</v>
      </c>
      <c r="D460" s="196" t="s">
        <v>2352</v>
      </c>
      <c r="E460" s="196" t="s">
        <v>2353</v>
      </c>
      <c r="F460" s="222">
        <f t="shared" si="88"/>
        <v>12</v>
      </c>
      <c r="G460" s="223" t="str">
        <f t="shared" ref="G460:G483" si="89">IF(F460=12,LEFT(E460,1),LEFT(E460,2))</f>
        <v>7</v>
      </c>
      <c r="H460" s="224">
        <f t="shared" ref="H460:H483" si="90">VALUE(G460)</f>
        <v>7</v>
      </c>
      <c r="I460" s="223" t="str">
        <f t="shared" ref="I460:I483" si="91">RIGHT(E460,7)</f>
        <v>54 min.</v>
      </c>
      <c r="J460" s="223" t="str">
        <f t="shared" ref="J460:J483" si="92">LEFT(I460,2)</f>
        <v>54</v>
      </c>
      <c r="K460" s="224">
        <f t="shared" ref="K460:K483" si="93">VALUE(J460)</f>
        <v>54</v>
      </c>
      <c r="L460" s="223" t="str">
        <f t="shared" ref="L460:L483" si="94">H460&amp;":"&amp;K460</f>
        <v>7:54</v>
      </c>
      <c r="M460" s="225">
        <f t="shared" ref="M460:M483" si="95">VALUE(L460)</f>
        <v>0.32916666666666666</v>
      </c>
      <c r="N460" s="197" t="s">
        <v>1861</v>
      </c>
      <c r="O460" s="196" t="s">
        <v>286</v>
      </c>
      <c r="P460" s="197" t="s">
        <v>546</v>
      </c>
      <c r="Q460" s="197" t="s">
        <v>276</v>
      </c>
    </row>
    <row r="461" spans="1:17" s="198" customFormat="1">
      <c r="A461" s="13">
        <v>461</v>
      </c>
      <c r="B461" s="196" t="s">
        <v>2354</v>
      </c>
      <c r="C461" s="196" t="s">
        <v>2355</v>
      </c>
      <c r="D461" s="196" t="s">
        <v>2356</v>
      </c>
      <c r="E461" s="196" t="s">
        <v>653</v>
      </c>
      <c r="F461" s="222">
        <f t="shared" si="88"/>
        <v>12</v>
      </c>
      <c r="G461" s="223" t="str">
        <f t="shared" si="89"/>
        <v>2</v>
      </c>
      <c r="H461" s="224">
        <f t="shared" si="90"/>
        <v>2</v>
      </c>
      <c r="I461" s="223" t="str">
        <f t="shared" si="91"/>
        <v>30 min.</v>
      </c>
      <c r="J461" s="223" t="str">
        <f t="shared" si="92"/>
        <v>30</v>
      </c>
      <c r="K461" s="224">
        <f t="shared" si="93"/>
        <v>30</v>
      </c>
      <c r="L461" s="223" t="str">
        <f t="shared" si="94"/>
        <v>2:30</v>
      </c>
      <c r="M461" s="225">
        <f t="shared" si="95"/>
        <v>0.10416666666666667</v>
      </c>
      <c r="N461" s="197" t="s">
        <v>2357</v>
      </c>
      <c r="O461" s="196" t="s">
        <v>496</v>
      </c>
      <c r="P461" s="197" t="s">
        <v>546</v>
      </c>
      <c r="Q461" s="197" t="s">
        <v>276</v>
      </c>
    </row>
    <row r="462" spans="1:17" s="198" customFormat="1">
      <c r="A462" s="13">
        <v>462</v>
      </c>
      <c r="B462" s="196" t="s">
        <v>2394</v>
      </c>
      <c r="C462" s="196" t="s">
        <v>2395</v>
      </c>
      <c r="D462" s="196" t="s">
        <v>2396</v>
      </c>
      <c r="E462" s="196" t="s">
        <v>2581</v>
      </c>
      <c r="F462" s="222">
        <f t="shared" si="88"/>
        <v>12</v>
      </c>
      <c r="G462" s="223" t="str">
        <f t="shared" si="89"/>
        <v>8</v>
      </c>
      <c r="H462" s="224">
        <f t="shared" si="90"/>
        <v>8</v>
      </c>
      <c r="I462" s="223" t="str">
        <f t="shared" si="91"/>
        <v>00 min.</v>
      </c>
      <c r="J462" s="223" t="str">
        <f t="shared" si="92"/>
        <v>00</v>
      </c>
      <c r="K462" s="224">
        <f t="shared" si="93"/>
        <v>0</v>
      </c>
      <c r="L462" s="223" t="str">
        <f t="shared" si="94"/>
        <v>8:0</v>
      </c>
      <c r="M462" s="225">
        <f t="shared" si="95"/>
        <v>0.33333333333333331</v>
      </c>
      <c r="N462" s="197" t="s">
        <v>2397</v>
      </c>
      <c r="O462" s="196" t="s">
        <v>459</v>
      </c>
      <c r="P462" s="197" t="s">
        <v>546</v>
      </c>
      <c r="Q462" s="197" t="s">
        <v>276</v>
      </c>
    </row>
    <row r="463" spans="1:17" s="198" customFormat="1">
      <c r="A463" s="13">
        <v>463</v>
      </c>
      <c r="B463" s="196" t="s">
        <v>2398</v>
      </c>
      <c r="C463" s="196" t="s">
        <v>2399</v>
      </c>
      <c r="D463" s="196" t="s">
        <v>2400</v>
      </c>
      <c r="E463" s="196" t="s">
        <v>319</v>
      </c>
      <c r="F463" s="222">
        <f t="shared" si="88"/>
        <v>12</v>
      </c>
      <c r="G463" s="223" t="str">
        <f t="shared" si="89"/>
        <v>8</v>
      </c>
      <c r="H463" s="224">
        <f t="shared" si="90"/>
        <v>8</v>
      </c>
      <c r="I463" s="223" t="str">
        <f t="shared" si="91"/>
        <v>20 min.</v>
      </c>
      <c r="J463" s="223" t="str">
        <f t="shared" si="92"/>
        <v>20</v>
      </c>
      <c r="K463" s="224">
        <f t="shared" si="93"/>
        <v>20</v>
      </c>
      <c r="L463" s="223" t="str">
        <f t="shared" si="94"/>
        <v>8:20</v>
      </c>
      <c r="M463" s="225">
        <f t="shared" si="95"/>
        <v>0.34722222222222227</v>
      </c>
      <c r="N463" s="197" t="s">
        <v>2401</v>
      </c>
      <c r="O463" s="196" t="s">
        <v>286</v>
      </c>
      <c r="P463" s="197" t="s">
        <v>546</v>
      </c>
      <c r="Q463" s="197" t="s">
        <v>276</v>
      </c>
    </row>
    <row r="464" spans="1:17" s="198" customFormat="1">
      <c r="A464" s="13">
        <v>464</v>
      </c>
      <c r="B464" s="196" t="s">
        <v>2402</v>
      </c>
      <c r="C464" s="196" t="s">
        <v>2403</v>
      </c>
      <c r="D464" s="196" t="s">
        <v>2404</v>
      </c>
      <c r="E464" s="196" t="s">
        <v>2405</v>
      </c>
      <c r="F464" s="222">
        <f t="shared" si="88"/>
        <v>12</v>
      </c>
      <c r="G464" s="223" t="str">
        <f t="shared" si="89"/>
        <v>8</v>
      </c>
      <c r="H464" s="224">
        <f t="shared" si="90"/>
        <v>8</v>
      </c>
      <c r="I464" s="223" t="str">
        <f t="shared" si="91"/>
        <v>06 min.</v>
      </c>
      <c r="J464" s="223" t="str">
        <f t="shared" si="92"/>
        <v>06</v>
      </c>
      <c r="K464" s="224">
        <f t="shared" si="93"/>
        <v>6</v>
      </c>
      <c r="L464" s="223" t="str">
        <f t="shared" si="94"/>
        <v>8:6</v>
      </c>
      <c r="M464" s="225">
        <f t="shared" si="95"/>
        <v>0.33749999999999997</v>
      </c>
      <c r="N464" s="197" t="s">
        <v>2406</v>
      </c>
      <c r="O464" s="196" t="s">
        <v>286</v>
      </c>
      <c r="P464" s="197" t="s">
        <v>546</v>
      </c>
      <c r="Q464" s="197" t="s">
        <v>276</v>
      </c>
    </row>
    <row r="465" spans="1:17" s="198" customFormat="1">
      <c r="A465" s="13">
        <v>465</v>
      </c>
      <c r="B465" s="196" t="s">
        <v>2407</v>
      </c>
      <c r="C465" s="196" t="s">
        <v>1359</v>
      </c>
      <c r="D465" s="196" t="s">
        <v>2408</v>
      </c>
      <c r="E465" s="196" t="s">
        <v>2295</v>
      </c>
      <c r="F465" s="222">
        <f t="shared" si="88"/>
        <v>12</v>
      </c>
      <c r="G465" s="223" t="str">
        <f t="shared" si="89"/>
        <v>7</v>
      </c>
      <c r="H465" s="224">
        <f t="shared" si="90"/>
        <v>7</v>
      </c>
      <c r="I465" s="223" t="str">
        <f t="shared" si="91"/>
        <v>51 min.</v>
      </c>
      <c r="J465" s="223" t="str">
        <f t="shared" si="92"/>
        <v>51</v>
      </c>
      <c r="K465" s="224">
        <f t="shared" si="93"/>
        <v>51</v>
      </c>
      <c r="L465" s="223" t="str">
        <f t="shared" si="94"/>
        <v>7:51</v>
      </c>
      <c r="M465" s="225">
        <f t="shared" si="95"/>
        <v>0.32708333333333334</v>
      </c>
      <c r="N465" s="197" t="s">
        <v>2409</v>
      </c>
      <c r="O465" s="196" t="s">
        <v>371</v>
      </c>
      <c r="P465" s="197" t="s">
        <v>546</v>
      </c>
      <c r="Q465" s="197" t="s">
        <v>276</v>
      </c>
    </row>
    <row r="466" spans="1:17" s="198" customFormat="1">
      <c r="A466" s="13">
        <v>466</v>
      </c>
      <c r="B466" s="196" t="s">
        <v>2410</v>
      </c>
      <c r="C466" s="196" t="s">
        <v>2411</v>
      </c>
      <c r="D466" s="196" t="s">
        <v>2412</v>
      </c>
      <c r="E466" s="196" t="s">
        <v>2413</v>
      </c>
      <c r="F466" s="222">
        <f t="shared" si="88"/>
        <v>13</v>
      </c>
      <c r="G466" s="223" t="str">
        <f t="shared" si="89"/>
        <v>11</v>
      </c>
      <c r="H466" s="224">
        <f t="shared" si="90"/>
        <v>11</v>
      </c>
      <c r="I466" s="223" t="str">
        <f t="shared" si="91"/>
        <v>10 min.</v>
      </c>
      <c r="J466" s="223" t="str">
        <f t="shared" si="92"/>
        <v>10</v>
      </c>
      <c r="K466" s="224">
        <f t="shared" si="93"/>
        <v>10</v>
      </c>
      <c r="L466" s="223" t="str">
        <f t="shared" si="94"/>
        <v>11:10</v>
      </c>
      <c r="M466" s="225">
        <f t="shared" si="95"/>
        <v>0.46527777777777773</v>
      </c>
      <c r="N466" s="197" t="s">
        <v>2308</v>
      </c>
      <c r="O466" s="196" t="s">
        <v>303</v>
      </c>
      <c r="P466" s="197" t="s">
        <v>546</v>
      </c>
      <c r="Q466" s="197" t="s">
        <v>276</v>
      </c>
    </row>
    <row r="467" spans="1:17" s="198" customFormat="1">
      <c r="A467" s="13">
        <v>467</v>
      </c>
      <c r="B467" s="196" t="s">
        <v>2414</v>
      </c>
      <c r="C467" s="196" t="s">
        <v>821</v>
      </c>
      <c r="D467" s="196" t="s">
        <v>2415</v>
      </c>
      <c r="E467" s="196" t="s">
        <v>2416</v>
      </c>
      <c r="F467" s="222">
        <f t="shared" si="88"/>
        <v>13</v>
      </c>
      <c r="G467" s="223" t="str">
        <f t="shared" si="89"/>
        <v>14</v>
      </c>
      <c r="H467" s="224">
        <f t="shared" si="90"/>
        <v>14</v>
      </c>
      <c r="I467" s="223" t="str">
        <f t="shared" si="91"/>
        <v>23 min.</v>
      </c>
      <c r="J467" s="223" t="str">
        <f t="shared" si="92"/>
        <v>23</v>
      </c>
      <c r="K467" s="224">
        <f t="shared" si="93"/>
        <v>23</v>
      </c>
      <c r="L467" s="223" t="str">
        <f t="shared" si="94"/>
        <v>14:23</v>
      </c>
      <c r="M467" s="225">
        <f t="shared" si="95"/>
        <v>0.59930555555555554</v>
      </c>
      <c r="N467" s="197" t="s">
        <v>606</v>
      </c>
      <c r="O467" s="196" t="s">
        <v>274</v>
      </c>
      <c r="P467" s="197" t="s">
        <v>546</v>
      </c>
      <c r="Q467" s="197" t="s">
        <v>276</v>
      </c>
    </row>
    <row r="468" spans="1:17" s="198" customFormat="1">
      <c r="A468" s="13">
        <v>468</v>
      </c>
      <c r="B468" s="196" t="s">
        <v>2417</v>
      </c>
      <c r="C468" s="196" t="s">
        <v>2418</v>
      </c>
      <c r="D468" s="196" t="s">
        <v>2419</v>
      </c>
      <c r="E468" s="196" t="s">
        <v>2420</v>
      </c>
      <c r="F468" s="222">
        <f t="shared" si="88"/>
        <v>12</v>
      </c>
      <c r="G468" s="223" t="str">
        <f t="shared" si="89"/>
        <v>9</v>
      </c>
      <c r="H468" s="224">
        <f t="shared" si="90"/>
        <v>9</v>
      </c>
      <c r="I468" s="223" t="str">
        <f t="shared" si="91"/>
        <v>55 min.</v>
      </c>
      <c r="J468" s="223" t="str">
        <f t="shared" si="92"/>
        <v>55</v>
      </c>
      <c r="K468" s="224">
        <f t="shared" si="93"/>
        <v>55</v>
      </c>
      <c r="L468" s="223" t="str">
        <f t="shared" si="94"/>
        <v>9:55</v>
      </c>
      <c r="M468" s="225">
        <f t="shared" si="95"/>
        <v>0.41319444444444442</v>
      </c>
      <c r="N468" s="197" t="s">
        <v>2421</v>
      </c>
      <c r="O468" s="196" t="s">
        <v>811</v>
      </c>
      <c r="P468" s="197" t="s">
        <v>546</v>
      </c>
      <c r="Q468" s="197" t="s">
        <v>276</v>
      </c>
    </row>
    <row r="469" spans="1:17" s="198" customFormat="1">
      <c r="A469" s="13">
        <v>469</v>
      </c>
      <c r="B469" s="196" t="s">
        <v>2422</v>
      </c>
      <c r="C469" s="196" t="s">
        <v>2423</v>
      </c>
      <c r="D469" s="196" t="s">
        <v>2424</v>
      </c>
      <c r="E469" s="196" t="s">
        <v>476</v>
      </c>
      <c r="F469" s="222">
        <f t="shared" si="88"/>
        <v>12</v>
      </c>
      <c r="G469" s="223" t="str">
        <f t="shared" si="89"/>
        <v>3</v>
      </c>
      <c r="H469" s="224">
        <f t="shared" si="90"/>
        <v>3</v>
      </c>
      <c r="I469" s="223" t="str">
        <f t="shared" si="91"/>
        <v>26 min.</v>
      </c>
      <c r="J469" s="223" t="str">
        <f t="shared" si="92"/>
        <v>26</v>
      </c>
      <c r="K469" s="224">
        <f t="shared" si="93"/>
        <v>26</v>
      </c>
      <c r="L469" s="223" t="str">
        <f t="shared" si="94"/>
        <v>3:26</v>
      </c>
      <c r="M469" s="225">
        <f t="shared" si="95"/>
        <v>0.14305555555555557</v>
      </c>
      <c r="N469" s="197" t="s">
        <v>2425</v>
      </c>
      <c r="O469" s="196" t="s">
        <v>274</v>
      </c>
      <c r="P469" s="197" t="s">
        <v>546</v>
      </c>
      <c r="Q469" s="197" t="s">
        <v>276</v>
      </c>
    </row>
    <row r="470" spans="1:17" s="198" customFormat="1">
      <c r="A470" s="13">
        <v>470</v>
      </c>
      <c r="B470" s="196" t="s">
        <v>2426</v>
      </c>
      <c r="C470" s="196" t="s">
        <v>2427</v>
      </c>
      <c r="D470" s="196" t="s">
        <v>2428</v>
      </c>
      <c r="E470" s="196" t="s">
        <v>2429</v>
      </c>
      <c r="F470" s="222">
        <f t="shared" si="88"/>
        <v>12</v>
      </c>
      <c r="G470" s="223" t="str">
        <f t="shared" si="89"/>
        <v>8</v>
      </c>
      <c r="H470" s="224">
        <f t="shared" si="90"/>
        <v>8</v>
      </c>
      <c r="I470" s="223" t="str">
        <f t="shared" si="91"/>
        <v>17 min.</v>
      </c>
      <c r="J470" s="223" t="str">
        <f t="shared" si="92"/>
        <v>17</v>
      </c>
      <c r="K470" s="224">
        <f t="shared" si="93"/>
        <v>17</v>
      </c>
      <c r="L470" s="223" t="str">
        <f t="shared" si="94"/>
        <v>8:17</v>
      </c>
      <c r="M470" s="225">
        <f t="shared" si="95"/>
        <v>0.34513888888888888</v>
      </c>
      <c r="N470" s="197" t="s">
        <v>2397</v>
      </c>
      <c r="O470" s="196" t="s">
        <v>439</v>
      </c>
      <c r="P470" s="197" t="s">
        <v>546</v>
      </c>
      <c r="Q470" s="197" t="s">
        <v>276</v>
      </c>
    </row>
    <row r="471" spans="1:17" s="198" customFormat="1">
      <c r="A471" s="13">
        <v>471</v>
      </c>
      <c r="B471" s="196" t="s">
        <v>2439</v>
      </c>
      <c r="C471" s="196" t="s">
        <v>2440</v>
      </c>
      <c r="D471" s="196" t="s">
        <v>2441</v>
      </c>
      <c r="E471" s="196" t="s">
        <v>2442</v>
      </c>
      <c r="F471" s="222">
        <f t="shared" si="88"/>
        <v>12</v>
      </c>
      <c r="G471" s="223" t="str">
        <f t="shared" si="89"/>
        <v>4</v>
      </c>
      <c r="H471" s="224">
        <f t="shared" si="90"/>
        <v>4</v>
      </c>
      <c r="I471" s="223" t="str">
        <f t="shared" si="91"/>
        <v>48 min.</v>
      </c>
      <c r="J471" s="223" t="str">
        <f t="shared" si="92"/>
        <v>48</v>
      </c>
      <c r="K471" s="224">
        <f t="shared" si="93"/>
        <v>48</v>
      </c>
      <c r="L471" s="223" t="str">
        <f t="shared" si="94"/>
        <v>4:48</v>
      </c>
      <c r="M471" s="225">
        <f t="shared" si="95"/>
        <v>0.19999999999999998</v>
      </c>
      <c r="N471" s="197" t="s">
        <v>2443</v>
      </c>
      <c r="O471" s="196" t="s">
        <v>274</v>
      </c>
      <c r="P471" s="197" t="s">
        <v>546</v>
      </c>
      <c r="Q471" s="197" t="s">
        <v>276</v>
      </c>
    </row>
    <row r="472" spans="1:17" s="198" customFormat="1">
      <c r="A472" s="13">
        <v>472</v>
      </c>
      <c r="B472" s="196" t="s">
        <v>2444</v>
      </c>
      <c r="C472" s="196" t="s">
        <v>2445</v>
      </c>
      <c r="D472" s="196" t="s">
        <v>2446</v>
      </c>
      <c r="E472" s="196" t="s">
        <v>2447</v>
      </c>
      <c r="F472" s="222">
        <f t="shared" si="88"/>
        <v>12</v>
      </c>
      <c r="G472" s="223" t="str">
        <f t="shared" si="89"/>
        <v>1</v>
      </c>
      <c r="H472" s="224">
        <f t="shared" si="90"/>
        <v>1</v>
      </c>
      <c r="I472" s="223" t="str">
        <f t="shared" si="91"/>
        <v>08 min.</v>
      </c>
      <c r="J472" s="223" t="str">
        <f t="shared" si="92"/>
        <v>08</v>
      </c>
      <c r="K472" s="224">
        <f t="shared" si="93"/>
        <v>8</v>
      </c>
      <c r="L472" s="223" t="str">
        <f t="shared" si="94"/>
        <v>1:8</v>
      </c>
      <c r="M472" s="225">
        <f t="shared" si="95"/>
        <v>4.7222222222222221E-2</v>
      </c>
      <c r="N472" s="197" t="s">
        <v>2448</v>
      </c>
      <c r="O472" s="196" t="s">
        <v>1050</v>
      </c>
      <c r="P472" s="197" t="s">
        <v>546</v>
      </c>
      <c r="Q472" s="197" t="s">
        <v>276</v>
      </c>
    </row>
    <row r="473" spans="1:17" s="198" customFormat="1">
      <c r="A473" s="13">
        <v>473</v>
      </c>
      <c r="B473" s="196" t="s">
        <v>2449</v>
      </c>
      <c r="C473" s="196" t="s">
        <v>2450</v>
      </c>
      <c r="D473" s="196" t="s">
        <v>2451</v>
      </c>
      <c r="E473" s="196" t="s">
        <v>2452</v>
      </c>
      <c r="F473" s="222">
        <f t="shared" si="88"/>
        <v>13</v>
      </c>
      <c r="G473" s="223" t="str">
        <f t="shared" si="89"/>
        <v>10</v>
      </c>
      <c r="H473" s="224">
        <f t="shared" si="90"/>
        <v>10</v>
      </c>
      <c r="I473" s="223" t="str">
        <f t="shared" si="91"/>
        <v>02 min.</v>
      </c>
      <c r="J473" s="223" t="str">
        <f t="shared" si="92"/>
        <v>02</v>
      </c>
      <c r="K473" s="224">
        <f t="shared" si="93"/>
        <v>2</v>
      </c>
      <c r="L473" s="223" t="str">
        <f t="shared" si="94"/>
        <v>10:2</v>
      </c>
      <c r="M473" s="225">
        <f t="shared" si="95"/>
        <v>0.41805555555555557</v>
      </c>
      <c r="N473" s="197" t="s">
        <v>601</v>
      </c>
      <c r="O473" s="196" t="s">
        <v>292</v>
      </c>
      <c r="P473" s="197" t="s">
        <v>546</v>
      </c>
      <c r="Q473" s="197" t="s">
        <v>276</v>
      </c>
    </row>
    <row r="474" spans="1:17" s="198" customFormat="1">
      <c r="A474" s="13">
        <v>474</v>
      </c>
      <c r="B474" s="196" t="s">
        <v>2453</v>
      </c>
      <c r="C474" s="196" t="s">
        <v>2454</v>
      </c>
      <c r="D474" s="196" t="s">
        <v>2455</v>
      </c>
      <c r="E474" s="196" t="s">
        <v>2456</v>
      </c>
      <c r="F474" s="222">
        <f t="shared" si="88"/>
        <v>13</v>
      </c>
      <c r="G474" s="223" t="str">
        <f t="shared" si="89"/>
        <v>23</v>
      </c>
      <c r="H474" s="224">
        <f t="shared" si="90"/>
        <v>23</v>
      </c>
      <c r="I474" s="223" t="str">
        <f t="shared" si="91"/>
        <v>30 min.</v>
      </c>
      <c r="J474" s="223" t="str">
        <f t="shared" si="92"/>
        <v>30</v>
      </c>
      <c r="K474" s="224">
        <f t="shared" si="93"/>
        <v>30</v>
      </c>
      <c r="L474" s="223" t="str">
        <f t="shared" si="94"/>
        <v>23:30</v>
      </c>
      <c r="M474" s="225">
        <f t="shared" si="95"/>
        <v>0.97916666666666663</v>
      </c>
      <c r="N474" s="197" t="s">
        <v>2457</v>
      </c>
      <c r="O474" s="196" t="s">
        <v>286</v>
      </c>
      <c r="P474" s="197" t="s">
        <v>546</v>
      </c>
      <c r="Q474" s="197" t="s">
        <v>276</v>
      </c>
    </row>
    <row r="475" spans="1:17" s="198" customFormat="1">
      <c r="A475" s="13">
        <v>475</v>
      </c>
      <c r="B475" s="196" t="s">
        <v>2458</v>
      </c>
      <c r="C475" s="196" t="s">
        <v>2459</v>
      </c>
      <c r="D475" s="196" t="s">
        <v>2460</v>
      </c>
      <c r="E475" s="196" t="s">
        <v>1095</v>
      </c>
      <c r="F475" s="222">
        <f t="shared" si="88"/>
        <v>12</v>
      </c>
      <c r="G475" s="223" t="str">
        <f t="shared" si="89"/>
        <v>9</v>
      </c>
      <c r="H475" s="224">
        <f t="shared" si="90"/>
        <v>9</v>
      </c>
      <c r="I475" s="223" t="str">
        <f t="shared" si="91"/>
        <v>03 min.</v>
      </c>
      <c r="J475" s="223" t="str">
        <f t="shared" si="92"/>
        <v>03</v>
      </c>
      <c r="K475" s="224">
        <f t="shared" si="93"/>
        <v>3</v>
      </c>
      <c r="L475" s="223" t="str">
        <f t="shared" si="94"/>
        <v>9:3</v>
      </c>
      <c r="M475" s="225">
        <f t="shared" si="95"/>
        <v>0.37708333333333338</v>
      </c>
      <c r="N475" s="197" t="s">
        <v>2461</v>
      </c>
      <c r="O475" s="196" t="s">
        <v>286</v>
      </c>
      <c r="P475" s="197" t="s">
        <v>546</v>
      </c>
      <c r="Q475" s="197" t="s">
        <v>276</v>
      </c>
    </row>
    <row r="476" spans="1:17" s="198" customFormat="1">
      <c r="A476" s="13">
        <v>476</v>
      </c>
      <c r="B476" s="196" t="s">
        <v>2462</v>
      </c>
      <c r="C476" s="196" t="s">
        <v>2463</v>
      </c>
      <c r="D476" s="196" t="s">
        <v>2464</v>
      </c>
      <c r="E476" s="196" t="s">
        <v>2465</v>
      </c>
      <c r="F476" s="222">
        <f t="shared" si="88"/>
        <v>12</v>
      </c>
      <c r="G476" s="223" t="str">
        <f t="shared" si="89"/>
        <v>5</v>
      </c>
      <c r="H476" s="224">
        <f t="shared" si="90"/>
        <v>5</v>
      </c>
      <c r="I476" s="223" t="str">
        <f t="shared" si="91"/>
        <v>39 min.</v>
      </c>
      <c r="J476" s="223" t="str">
        <f t="shared" si="92"/>
        <v>39</v>
      </c>
      <c r="K476" s="224">
        <f t="shared" si="93"/>
        <v>39</v>
      </c>
      <c r="L476" s="223" t="str">
        <f t="shared" si="94"/>
        <v>5:39</v>
      </c>
      <c r="M476" s="225">
        <f t="shared" si="95"/>
        <v>0.23541666666666669</v>
      </c>
      <c r="N476" s="197" t="s">
        <v>2466</v>
      </c>
      <c r="O476" s="196" t="s">
        <v>286</v>
      </c>
      <c r="P476" s="197" t="s">
        <v>546</v>
      </c>
      <c r="Q476" s="197" t="s">
        <v>276</v>
      </c>
    </row>
    <row r="477" spans="1:17" s="198" customFormat="1">
      <c r="A477" s="13">
        <v>477</v>
      </c>
      <c r="B477" s="196" t="s">
        <v>2471</v>
      </c>
      <c r="C477" s="196" t="s">
        <v>2472</v>
      </c>
      <c r="D477" s="196" t="s">
        <v>2473</v>
      </c>
      <c r="E477" s="196" t="s">
        <v>2474</v>
      </c>
      <c r="F477" s="222">
        <f t="shared" si="88"/>
        <v>13</v>
      </c>
      <c r="G477" s="223" t="str">
        <f t="shared" si="89"/>
        <v>10</v>
      </c>
      <c r="H477" s="224">
        <f t="shared" si="90"/>
        <v>10</v>
      </c>
      <c r="I477" s="223" t="str">
        <f t="shared" si="91"/>
        <v>48 min.</v>
      </c>
      <c r="J477" s="223" t="str">
        <f t="shared" si="92"/>
        <v>48</v>
      </c>
      <c r="K477" s="224">
        <f t="shared" si="93"/>
        <v>48</v>
      </c>
      <c r="L477" s="223" t="str">
        <f t="shared" si="94"/>
        <v>10:48</v>
      </c>
      <c r="M477" s="225">
        <f t="shared" si="95"/>
        <v>0.45</v>
      </c>
      <c r="N477" s="197" t="s">
        <v>2475</v>
      </c>
      <c r="O477" s="196" t="s">
        <v>2476</v>
      </c>
      <c r="P477" s="197" t="s">
        <v>546</v>
      </c>
      <c r="Q477" s="197" t="s">
        <v>276</v>
      </c>
    </row>
    <row r="478" spans="1:17" s="198" customFormat="1">
      <c r="A478" s="13">
        <v>478</v>
      </c>
      <c r="B478" s="196" t="s">
        <v>2501</v>
      </c>
      <c r="C478" s="196" t="s">
        <v>2502</v>
      </c>
      <c r="D478" s="196" t="s">
        <v>2503</v>
      </c>
      <c r="E478" s="196" t="s">
        <v>2504</v>
      </c>
      <c r="F478" s="222">
        <f t="shared" si="88"/>
        <v>12</v>
      </c>
      <c r="G478" s="223" t="str">
        <f t="shared" si="89"/>
        <v>9</v>
      </c>
      <c r="H478" s="224">
        <f t="shared" si="90"/>
        <v>9</v>
      </c>
      <c r="I478" s="223" t="str">
        <f t="shared" si="91"/>
        <v>34 min.</v>
      </c>
      <c r="J478" s="223" t="str">
        <f t="shared" si="92"/>
        <v>34</v>
      </c>
      <c r="K478" s="224">
        <f t="shared" si="93"/>
        <v>34</v>
      </c>
      <c r="L478" s="223" t="str">
        <f t="shared" si="94"/>
        <v>9:34</v>
      </c>
      <c r="M478" s="225">
        <f t="shared" si="95"/>
        <v>0.39861111111111108</v>
      </c>
      <c r="N478" s="197" t="s">
        <v>2505</v>
      </c>
      <c r="O478" s="196" t="s">
        <v>811</v>
      </c>
      <c r="P478" s="197" t="s">
        <v>546</v>
      </c>
      <c r="Q478" s="197" t="s">
        <v>276</v>
      </c>
    </row>
    <row r="479" spans="1:17" s="198" customFormat="1">
      <c r="A479" s="13">
        <v>479</v>
      </c>
      <c r="B479" s="196" t="s">
        <v>2506</v>
      </c>
      <c r="C479" s="196" t="s">
        <v>2507</v>
      </c>
      <c r="D479" s="196" t="s">
        <v>2508</v>
      </c>
      <c r="E479" s="196" t="s">
        <v>2509</v>
      </c>
      <c r="F479" s="222">
        <f t="shared" si="88"/>
        <v>12</v>
      </c>
      <c r="G479" s="223" t="str">
        <f t="shared" si="89"/>
        <v>3</v>
      </c>
      <c r="H479" s="224">
        <f t="shared" si="90"/>
        <v>3</v>
      </c>
      <c r="I479" s="223" t="str">
        <f t="shared" si="91"/>
        <v>11 min.</v>
      </c>
      <c r="J479" s="223" t="str">
        <f t="shared" si="92"/>
        <v>11</v>
      </c>
      <c r="K479" s="224">
        <f t="shared" si="93"/>
        <v>11</v>
      </c>
      <c r="L479" s="223" t="str">
        <f t="shared" si="94"/>
        <v>3:11</v>
      </c>
      <c r="M479" s="225">
        <f t="shared" si="95"/>
        <v>0.13263888888888889</v>
      </c>
      <c r="N479" s="197" t="s">
        <v>2357</v>
      </c>
      <c r="O479" s="196" t="s">
        <v>1161</v>
      </c>
      <c r="P479" s="197" t="s">
        <v>546</v>
      </c>
      <c r="Q479" s="197" t="s">
        <v>276</v>
      </c>
    </row>
    <row r="480" spans="1:17" s="198" customFormat="1">
      <c r="A480" s="13">
        <v>480</v>
      </c>
      <c r="B480" s="196" t="s">
        <v>2510</v>
      </c>
      <c r="C480" s="196" t="s">
        <v>2511</v>
      </c>
      <c r="D480" s="196" t="s">
        <v>2512</v>
      </c>
      <c r="E480" s="196" t="s">
        <v>2023</v>
      </c>
      <c r="F480" s="222">
        <f t="shared" si="88"/>
        <v>13</v>
      </c>
      <c r="G480" s="223" t="str">
        <f t="shared" si="89"/>
        <v>12</v>
      </c>
      <c r="H480" s="224">
        <f t="shared" si="90"/>
        <v>12</v>
      </c>
      <c r="I480" s="223" t="str">
        <f t="shared" si="91"/>
        <v>17 min.</v>
      </c>
      <c r="J480" s="223" t="str">
        <f t="shared" si="92"/>
        <v>17</v>
      </c>
      <c r="K480" s="224">
        <f t="shared" si="93"/>
        <v>17</v>
      </c>
      <c r="L480" s="223" t="str">
        <f t="shared" si="94"/>
        <v>12:17</v>
      </c>
      <c r="M480" s="225">
        <f t="shared" si="95"/>
        <v>0.51180555555555551</v>
      </c>
      <c r="N480" s="197" t="s">
        <v>2513</v>
      </c>
      <c r="O480" s="196" t="s">
        <v>371</v>
      </c>
      <c r="P480" s="197" t="s">
        <v>546</v>
      </c>
      <c r="Q480" s="197" t="s">
        <v>276</v>
      </c>
    </row>
    <row r="481" spans="1:17" s="198" customFormat="1">
      <c r="A481" s="13">
        <v>481</v>
      </c>
      <c r="B481" s="196" t="s">
        <v>2514</v>
      </c>
      <c r="C481" s="196" t="s">
        <v>2515</v>
      </c>
      <c r="D481" s="196" t="s">
        <v>2516</v>
      </c>
      <c r="E481" s="196" t="s">
        <v>1021</v>
      </c>
      <c r="F481" s="222">
        <f t="shared" si="88"/>
        <v>12</v>
      </c>
      <c r="G481" s="223" t="str">
        <f t="shared" si="89"/>
        <v>5</v>
      </c>
      <c r="H481" s="224">
        <f t="shared" si="90"/>
        <v>5</v>
      </c>
      <c r="I481" s="223" t="str">
        <f t="shared" si="91"/>
        <v>27 min.</v>
      </c>
      <c r="J481" s="223" t="str">
        <f t="shared" si="92"/>
        <v>27</v>
      </c>
      <c r="K481" s="224">
        <f t="shared" si="93"/>
        <v>27</v>
      </c>
      <c r="L481" s="223" t="str">
        <f t="shared" si="94"/>
        <v>5:27</v>
      </c>
      <c r="M481" s="225">
        <f t="shared" si="95"/>
        <v>0.22708333333333333</v>
      </c>
      <c r="N481" s="197" t="s">
        <v>2517</v>
      </c>
      <c r="O481" s="196" t="s">
        <v>2370</v>
      </c>
      <c r="P481" s="197" t="s">
        <v>546</v>
      </c>
      <c r="Q481" s="197" t="s">
        <v>276</v>
      </c>
    </row>
    <row r="482" spans="1:17" s="198" customFormat="1">
      <c r="A482" s="13">
        <v>482</v>
      </c>
      <c r="B482" s="196" t="s">
        <v>2518</v>
      </c>
      <c r="C482" s="196" t="s">
        <v>2519</v>
      </c>
      <c r="D482" s="196" t="s">
        <v>2520</v>
      </c>
      <c r="E482" s="196" t="s">
        <v>1270</v>
      </c>
      <c r="F482" s="222">
        <f t="shared" si="88"/>
        <v>12</v>
      </c>
      <c r="G482" s="223" t="str">
        <f t="shared" si="89"/>
        <v>5</v>
      </c>
      <c r="H482" s="224">
        <f t="shared" si="90"/>
        <v>5</v>
      </c>
      <c r="I482" s="223" t="str">
        <f t="shared" si="91"/>
        <v>41 min.</v>
      </c>
      <c r="J482" s="223" t="str">
        <f t="shared" si="92"/>
        <v>41</v>
      </c>
      <c r="K482" s="224">
        <f t="shared" si="93"/>
        <v>41</v>
      </c>
      <c r="L482" s="223" t="str">
        <f t="shared" si="94"/>
        <v>5:41</v>
      </c>
      <c r="M482" s="225">
        <f t="shared" si="95"/>
        <v>0.23680555555555557</v>
      </c>
      <c r="N482" s="197" t="s">
        <v>591</v>
      </c>
      <c r="O482" s="196" t="s">
        <v>310</v>
      </c>
      <c r="P482" s="197" t="s">
        <v>546</v>
      </c>
      <c r="Q482" s="197" t="s">
        <v>276</v>
      </c>
    </row>
    <row r="483" spans="1:17" s="198" customFormat="1">
      <c r="A483" s="13">
        <v>483</v>
      </c>
      <c r="B483" s="196" t="s">
        <v>2525</v>
      </c>
      <c r="C483" s="196" t="s">
        <v>2526</v>
      </c>
      <c r="D483" s="196" t="s">
        <v>2527</v>
      </c>
      <c r="E483" s="196" t="s">
        <v>1439</v>
      </c>
      <c r="F483" s="222">
        <f t="shared" si="88"/>
        <v>12</v>
      </c>
      <c r="G483" s="223" t="str">
        <f t="shared" si="89"/>
        <v>4</v>
      </c>
      <c r="H483" s="224">
        <f t="shared" si="90"/>
        <v>4</v>
      </c>
      <c r="I483" s="223" t="str">
        <f t="shared" si="91"/>
        <v>26 min.</v>
      </c>
      <c r="J483" s="223" t="str">
        <f t="shared" si="92"/>
        <v>26</v>
      </c>
      <c r="K483" s="224">
        <f t="shared" si="93"/>
        <v>26</v>
      </c>
      <c r="L483" s="223" t="str">
        <f t="shared" si="94"/>
        <v>4:26</v>
      </c>
      <c r="M483" s="225">
        <f t="shared" si="95"/>
        <v>0.18472222222222223</v>
      </c>
      <c r="N483" s="197" t="s">
        <v>2528</v>
      </c>
      <c r="O483" s="196" t="s">
        <v>811</v>
      </c>
      <c r="P483" s="197" t="s">
        <v>546</v>
      </c>
      <c r="Q483" s="197" t="s">
        <v>276</v>
      </c>
    </row>
    <row r="484" spans="1:17" s="13" customFormat="1">
      <c r="A484" s="13">
        <v>259</v>
      </c>
      <c r="B484" s="226">
        <f>COUNTA(B396:B483)</f>
        <v>88</v>
      </c>
      <c r="C484" s="165"/>
      <c r="D484" s="165"/>
      <c r="E484" s="165"/>
      <c r="F484" s="222"/>
      <c r="G484" s="223"/>
      <c r="H484" s="224"/>
      <c r="I484" s="223"/>
      <c r="J484" s="223"/>
      <c r="K484" s="224"/>
      <c r="L484" s="223"/>
      <c r="M484" s="229">
        <f>SUM(M396:M483)</f>
        <v>34.74305555555555</v>
      </c>
      <c r="N484" s="167"/>
      <c r="O484" s="165"/>
      <c r="P484" s="167"/>
      <c r="Q484" s="167"/>
    </row>
    <row r="485" spans="1:17" s="13" customFormat="1">
      <c r="A485" s="13">
        <v>260</v>
      </c>
      <c r="B485" s="227">
        <v>88</v>
      </c>
      <c r="C485" s="165"/>
      <c r="D485" s="165"/>
      <c r="E485" s="165"/>
      <c r="F485" s="222"/>
      <c r="G485" s="223"/>
      <c r="H485" s="224"/>
      <c r="I485" s="223"/>
      <c r="J485" s="223"/>
      <c r="K485" s="224"/>
      <c r="L485" s="223"/>
      <c r="M485" s="228">
        <v>34.743055555555557</v>
      </c>
      <c r="N485" s="171" t="s">
        <v>173</v>
      </c>
      <c r="O485" s="165"/>
      <c r="P485" s="167"/>
      <c r="Q485" s="167"/>
    </row>
    <row r="486" spans="1:17" s="13" customFormat="1">
      <c r="A486" s="13">
        <v>261</v>
      </c>
      <c r="B486" s="227">
        <v>88</v>
      </c>
      <c r="C486" s="230" t="s">
        <v>2606</v>
      </c>
      <c r="D486" s="165"/>
      <c r="E486" s="165"/>
      <c r="F486" s="222"/>
      <c r="G486" s="223"/>
      <c r="H486" s="224"/>
      <c r="I486" s="223"/>
      <c r="J486" s="223"/>
      <c r="K486" s="224"/>
      <c r="L486" s="223"/>
      <c r="M486" s="228">
        <v>34.741666666666667</v>
      </c>
      <c r="N486" s="230" t="s">
        <v>2606</v>
      </c>
      <c r="O486" s="165"/>
      <c r="P486" s="167"/>
      <c r="Q486" s="167"/>
    </row>
    <row r="487" spans="1:17" s="13" customFormat="1">
      <c r="A487" s="13">
        <v>487</v>
      </c>
      <c r="B487" s="165"/>
      <c r="C487" s="165"/>
      <c r="D487" s="165"/>
      <c r="E487" s="165"/>
      <c r="F487" s="222"/>
      <c r="G487" s="223"/>
      <c r="H487" s="224"/>
      <c r="I487" s="223"/>
      <c r="J487" s="223"/>
      <c r="K487" s="224"/>
      <c r="L487" s="223"/>
      <c r="M487" s="225"/>
      <c r="N487" s="167"/>
      <c r="O487" s="165"/>
      <c r="P487" s="167"/>
      <c r="Q487" s="167"/>
    </row>
    <row r="488" spans="1:17" s="13" customFormat="1">
      <c r="A488" s="13">
        <v>488</v>
      </c>
      <c r="B488" s="165"/>
      <c r="C488" s="165"/>
      <c r="D488" s="165"/>
      <c r="E488" s="165"/>
      <c r="F488" s="222"/>
      <c r="G488" s="223"/>
      <c r="H488" s="224"/>
      <c r="I488" s="223"/>
      <c r="J488" s="223"/>
      <c r="K488" s="224"/>
      <c r="L488" s="223"/>
      <c r="M488" s="225"/>
      <c r="N488" s="167"/>
      <c r="O488" s="165"/>
      <c r="P488" s="167"/>
      <c r="Q488" s="167"/>
    </row>
    <row r="489" spans="1:17" s="13" customFormat="1">
      <c r="A489" s="13">
        <v>489</v>
      </c>
      <c r="B489" s="165"/>
      <c r="C489" s="165"/>
      <c r="D489" s="165"/>
      <c r="E489" s="165"/>
      <c r="F489" s="222"/>
      <c r="G489" s="223"/>
      <c r="H489" s="224"/>
      <c r="I489" s="223"/>
      <c r="J489" s="223"/>
      <c r="K489" s="224"/>
      <c r="L489" s="223"/>
      <c r="M489" s="225"/>
      <c r="N489" s="167"/>
      <c r="O489" s="165"/>
      <c r="P489" s="167"/>
      <c r="Q489" s="167"/>
    </row>
    <row r="490" spans="1:17" s="13" customFormat="1">
      <c r="A490" s="13">
        <v>490</v>
      </c>
      <c r="B490" s="165"/>
      <c r="C490" s="165"/>
      <c r="D490" s="165"/>
      <c r="E490" s="165"/>
      <c r="F490" s="222"/>
      <c r="G490" s="223"/>
      <c r="H490" s="224"/>
      <c r="I490" s="223"/>
      <c r="J490" s="223"/>
      <c r="K490" s="224"/>
      <c r="L490" s="223"/>
      <c r="M490" s="225"/>
      <c r="N490" s="167"/>
      <c r="O490" s="165"/>
      <c r="P490" s="167"/>
      <c r="Q490" s="167"/>
    </row>
    <row r="491" spans="1:17" s="13" customFormat="1">
      <c r="A491" s="13">
        <v>491</v>
      </c>
      <c r="B491" s="165"/>
      <c r="C491" s="165"/>
      <c r="D491" s="165"/>
      <c r="E491" s="165"/>
      <c r="F491" s="222"/>
      <c r="G491" s="223"/>
      <c r="H491" s="224"/>
      <c r="I491" s="223"/>
      <c r="J491" s="223"/>
      <c r="K491" s="224"/>
      <c r="L491" s="223"/>
      <c r="M491" s="225"/>
      <c r="N491" s="167"/>
      <c r="O491" s="165"/>
      <c r="P491" s="167"/>
      <c r="Q491" s="167"/>
    </row>
    <row r="492" spans="1:17" s="42" customFormat="1">
      <c r="A492" s="13">
        <v>492</v>
      </c>
      <c r="B492" s="207" t="s">
        <v>1886</v>
      </c>
      <c r="C492" s="207" t="s">
        <v>1887</v>
      </c>
      <c r="D492" s="207" t="s">
        <v>1888</v>
      </c>
      <c r="E492" s="207" t="s">
        <v>1889</v>
      </c>
      <c r="F492" s="222">
        <f>LEN(E492)</f>
        <v>12</v>
      </c>
      <c r="G492" s="223" t="str">
        <f>IF(F492=12,LEFT(E492,1),LEFT(E492,2))</f>
        <v>7</v>
      </c>
      <c r="H492" s="224">
        <f>VALUE(G492)</f>
        <v>7</v>
      </c>
      <c r="I492" s="223" t="str">
        <f>RIGHT(E492,7)</f>
        <v>16 min.</v>
      </c>
      <c r="J492" s="223" t="str">
        <f>LEFT(I492,2)</f>
        <v>16</v>
      </c>
      <c r="K492" s="224">
        <f>VALUE(J492)</f>
        <v>16</v>
      </c>
      <c r="L492" s="223" t="str">
        <f>H492&amp;":"&amp;K492</f>
        <v>7:16</v>
      </c>
      <c r="M492" s="225">
        <f>VALUE(L492)</f>
        <v>0.30277777777777776</v>
      </c>
      <c r="N492" s="208" t="s">
        <v>1890</v>
      </c>
      <c r="O492" s="207" t="s">
        <v>274</v>
      </c>
      <c r="P492" s="208" t="s">
        <v>1891</v>
      </c>
      <c r="Q492" s="208" t="s">
        <v>276</v>
      </c>
    </row>
    <row r="493" spans="1:17" s="42" customFormat="1">
      <c r="A493" s="13">
        <v>493</v>
      </c>
      <c r="B493" s="207" t="s">
        <v>2141</v>
      </c>
      <c r="C493" s="207" t="s">
        <v>2142</v>
      </c>
      <c r="D493" s="207" t="s">
        <v>2143</v>
      </c>
      <c r="E493" s="207" t="s">
        <v>1074</v>
      </c>
      <c r="F493" s="222">
        <f>LEN(E493)</f>
        <v>12</v>
      </c>
      <c r="G493" s="223" t="str">
        <f>IF(F493=12,LEFT(E493,1),LEFT(E493,2))</f>
        <v>9</v>
      </c>
      <c r="H493" s="224">
        <f>VALUE(G493)</f>
        <v>9</v>
      </c>
      <c r="I493" s="223" t="str">
        <f>RIGHT(E493,7)</f>
        <v>27 min.</v>
      </c>
      <c r="J493" s="223" t="str">
        <f>LEFT(I493,2)</f>
        <v>27</v>
      </c>
      <c r="K493" s="224">
        <f>VALUE(J493)</f>
        <v>27</v>
      </c>
      <c r="L493" s="223" t="str">
        <f>H493&amp;":"&amp;K493</f>
        <v>9:27</v>
      </c>
      <c r="M493" s="225">
        <f>VALUE(L493)</f>
        <v>0.39374999999999999</v>
      </c>
      <c r="N493" s="208" t="s">
        <v>2144</v>
      </c>
      <c r="O493" s="207" t="s">
        <v>274</v>
      </c>
      <c r="P493" s="208" t="s">
        <v>1891</v>
      </c>
      <c r="Q493" s="208" t="s">
        <v>276</v>
      </c>
    </row>
    <row r="494" spans="1:17" s="13" customFormat="1">
      <c r="A494" s="13">
        <v>494</v>
      </c>
      <c r="B494" s="226">
        <f>COUNTA(B492:B493)</f>
        <v>2</v>
      </c>
      <c r="C494" s="165"/>
      <c r="D494" s="165"/>
      <c r="E494" s="165"/>
      <c r="F494" s="222"/>
      <c r="G494" s="223"/>
      <c r="H494" s="224"/>
      <c r="I494" s="223"/>
      <c r="J494" s="223"/>
      <c r="K494" s="224"/>
      <c r="L494" s="223"/>
      <c r="M494" s="229">
        <f>SUM(M492:M493)</f>
        <v>0.69652777777777775</v>
      </c>
      <c r="N494" s="167"/>
      <c r="O494" s="165"/>
      <c r="P494" s="167"/>
      <c r="Q494" s="167"/>
    </row>
    <row r="495" spans="1:17" s="13" customFormat="1">
      <c r="A495" s="13">
        <v>495</v>
      </c>
      <c r="B495" s="227" t="s">
        <v>310</v>
      </c>
      <c r="C495" s="165"/>
      <c r="D495" s="165"/>
      <c r="E495" s="165"/>
      <c r="F495" s="222"/>
      <c r="G495" s="223"/>
      <c r="H495" s="224"/>
      <c r="I495" s="223"/>
      <c r="J495" s="223"/>
      <c r="K495" s="224"/>
      <c r="L495" s="223"/>
      <c r="M495" s="228">
        <v>0.69652777777777775</v>
      </c>
      <c r="N495" s="171" t="s">
        <v>173</v>
      </c>
      <c r="O495" s="165"/>
      <c r="P495" s="167"/>
      <c r="Q495" s="167"/>
    </row>
    <row r="496" spans="1:17" s="13" customFormat="1">
      <c r="A496" s="13">
        <v>496</v>
      </c>
      <c r="B496" s="227">
        <v>2</v>
      </c>
      <c r="C496" s="230" t="s">
        <v>2606</v>
      </c>
      <c r="D496" s="165"/>
      <c r="E496" s="165"/>
      <c r="F496" s="222"/>
      <c r="G496" s="223"/>
      <c r="H496" s="224"/>
      <c r="I496" s="223"/>
      <c r="J496" s="223"/>
      <c r="K496" s="224"/>
      <c r="L496" s="223"/>
      <c r="M496" s="228">
        <v>0.69652777777777775</v>
      </c>
      <c r="N496" s="230" t="s">
        <v>2606</v>
      </c>
      <c r="O496" s="165"/>
      <c r="P496" s="167"/>
      <c r="Q496" s="167"/>
    </row>
    <row r="497" spans="1:17" s="13" customFormat="1">
      <c r="A497" s="13">
        <v>497</v>
      </c>
      <c r="B497" s="165"/>
      <c r="C497" s="165"/>
      <c r="D497" s="165"/>
      <c r="E497" s="165"/>
      <c r="F497" s="222"/>
      <c r="G497" s="223"/>
      <c r="H497" s="224"/>
      <c r="I497" s="223"/>
      <c r="J497" s="223"/>
      <c r="K497" s="224"/>
      <c r="L497" s="223"/>
      <c r="M497" s="225"/>
      <c r="N497" s="167"/>
      <c r="O497" s="165"/>
      <c r="P497" s="167"/>
      <c r="Q497" s="167"/>
    </row>
    <row r="498" spans="1:17" s="13" customFormat="1">
      <c r="A498" s="13">
        <v>498</v>
      </c>
      <c r="B498" s="165"/>
      <c r="C498" s="165"/>
      <c r="D498" s="165"/>
      <c r="E498" s="165"/>
      <c r="F498" s="222"/>
      <c r="G498" s="223"/>
      <c r="H498" s="224"/>
      <c r="I498" s="223"/>
      <c r="J498" s="223"/>
      <c r="K498" s="224"/>
      <c r="L498" s="223"/>
      <c r="M498" s="225"/>
      <c r="N498" s="167"/>
      <c r="O498" s="165"/>
      <c r="P498" s="167"/>
      <c r="Q498" s="167"/>
    </row>
    <row r="499" spans="1:17" s="13" customFormat="1">
      <c r="A499" s="13">
        <v>499</v>
      </c>
      <c r="B499" s="165"/>
      <c r="C499" s="165"/>
      <c r="D499" s="165"/>
      <c r="E499" s="165"/>
      <c r="F499" s="222"/>
      <c r="G499" s="223"/>
      <c r="H499" s="224"/>
      <c r="I499" s="223"/>
      <c r="J499" s="223"/>
      <c r="K499" s="224"/>
      <c r="L499" s="223"/>
      <c r="M499" s="225"/>
      <c r="N499" s="167"/>
      <c r="O499" s="165"/>
      <c r="P499" s="167"/>
      <c r="Q499" s="167"/>
    </row>
    <row r="500" spans="1:17" s="13" customFormat="1">
      <c r="A500" s="13">
        <v>500</v>
      </c>
      <c r="B500" s="165"/>
      <c r="C500" s="165"/>
      <c r="D500" s="165"/>
      <c r="E500" s="165"/>
      <c r="F500" s="222"/>
      <c r="G500" s="223"/>
      <c r="H500" s="224"/>
      <c r="I500" s="223"/>
      <c r="J500" s="223"/>
      <c r="K500" s="224"/>
      <c r="L500" s="223"/>
      <c r="M500" s="225"/>
      <c r="N500" s="167"/>
      <c r="O500" s="165"/>
      <c r="P500" s="167"/>
      <c r="Q500" s="167"/>
    </row>
    <row r="501" spans="1:17" s="13" customFormat="1">
      <c r="A501" s="13">
        <v>501</v>
      </c>
      <c r="B501" s="165"/>
      <c r="C501" s="165"/>
      <c r="D501" s="165"/>
      <c r="E501" s="165"/>
      <c r="F501" s="222"/>
      <c r="G501" s="223"/>
      <c r="H501" s="224"/>
      <c r="I501" s="223"/>
      <c r="J501" s="223"/>
      <c r="K501" s="224"/>
      <c r="L501" s="223"/>
      <c r="M501" s="225"/>
      <c r="N501" s="167"/>
      <c r="O501" s="165"/>
      <c r="P501" s="167"/>
      <c r="Q501" s="167"/>
    </row>
    <row r="502" spans="1:17" s="211" customFormat="1">
      <c r="A502" s="13">
        <v>502</v>
      </c>
      <c r="B502" s="209" t="s">
        <v>630</v>
      </c>
      <c r="C502" s="209" t="s">
        <v>631</v>
      </c>
      <c r="D502" s="209" t="s">
        <v>632</v>
      </c>
      <c r="E502" s="209" t="s">
        <v>633</v>
      </c>
      <c r="F502" s="222">
        <f t="shared" ref="F502:F530" si="96">LEN(E502)</f>
        <v>13</v>
      </c>
      <c r="G502" s="223" t="str">
        <f t="shared" ref="G502:G530" si="97">IF(F502=12,LEFT(E502,1),LEFT(E502,2))</f>
        <v>11</v>
      </c>
      <c r="H502" s="224">
        <f t="shared" ref="H502:H530" si="98">VALUE(G502)</f>
        <v>11</v>
      </c>
      <c r="I502" s="223" t="str">
        <f t="shared" ref="I502:I530" si="99">RIGHT(E502,7)</f>
        <v>47 min.</v>
      </c>
      <c r="J502" s="223" t="str">
        <f t="shared" ref="J502:J530" si="100">LEFT(I502,2)</f>
        <v>47</v>
      </c>
      <c r="K502" s="224">
        <f t="shared" ref="K502:K530" si="101">VALUE(J502)</f>
        <v>47</v>
      </c>
      <c r="L502" s="223" t="str">
        <f t="shared" ref="L502:L530" si="102">H502&amp;":"&amp;K502</f>
        <v>11:47</v>
      </c>
      <c r="M502" s="225">
        <f t="shared" ref="M502:M530" si="103">VALUE(L502)</f>
        <v>0.4909722222222222</v>
      </c>
      <c r="N502" s="210" t="s">
        <v>634</v>
      </c>
      <c r="O502" s="209" t="s">
        <v>350</v>
      </c>
      <c r="P502" s="210" t="s">
        <v>635</v>
      </c>
      <c r="Q502" s="210" t="s">
        <v>276</v>
      </c>
    </row>
    <row r="503" spans="1:17" s="211" customFormat="1">
      <c r="A503" s="13">
        <v>503</v>
      </c>
      <c r="B503" s="209" t="s">
        <v>742</v>
      </c>
      <c r="C503" s="209" t="s">
        <v>743</v>
      </c>
      <c r="D503" s="209" t="s">
        <v>744</v>
      </c>
      <c r="E503" s="209" t="s">
        <v>745</v>
      </c>
      <c r="F503" s="222">
        <f t="shared" si="96"/>
        <v>12</v>
      </c>
      <c r="G503" s="223" t="str">
        <f t="shared" si="97"/>
        <v>8</v>
      </c>
      <c r="H503" s="224">
        <f t="shared" si="98"/>
        <v>8</v>
      </c>
      <c r="I503" s="223" t="str">
        <f t="shared" si="99"/>
        <v>29 min.</v>
      </c>
      <c r="J503" s="223" t="str">
        <f t="shared" si="100"/>
        <v>29</v>
      </c>
      <c r="K503" s="224">
        <f t="shared" si="101"/>
        <v>29</v>
      </c>
      <c r="L503" s="223" t="str">
        <f t="shared" si="102"/>
        <v>8:29</v>
      </c>
      <c r="M503" s="225">
        <f t="shared" si="103"/>
        <v>0.35347222222222219</v>
      </c>
      <c r="N503" s="210" t="s">
        <v>746</v>
      </c>
      <c r="O503" s="209" t="s">
        <v>310</v>
      </c>
      <c r="P503" s="210" t="s">
        <v>635</v>
      </c>
      <c r="Q503" s="210" t="s">
        <v>276</v>
      </c>
    </row>
    <row r="504" spans="1:17" s="211" customFormat="1">
      <c r="A504" s="13">
        <v>504</v>
      </c>
      <c r="B504" s="209" t="s">
        <v>747</v>
      </c>
      <c r="C504" s="209" t="s">
        <v>748</v>
      </c>
      <c r="D504" s="209" t="s">
        <v>749</v>
      </c>
      <c r="E504" s="209" t="s">
        <v>750</v>
      </c>
      <c r="F504" s="222">
        <f t="shared" si="96"/>
        <v>13</v>
      </c>
      <c r="G504" s="223" t="str">
        <f t="shared" si="97"/>
        <v>14</v>
      </c>
      <c r="H504" s="224">
        <f t="shared" si="98"/>
        <v>14</v>
      </c>
      <c r="I504" s="223" t="str">
        <f t="shared" si="99"/>
        <v>56 min.</v>
      </c>
      <c r="J504" s="223" t="str">
        <f t="shared" si="100"/>
        <v>56</v>
      </c>
      <c r="K504" s="224">
        <f t="shared" si="101"/>
        <v>56</v>
      </c>
      <c r="L504" s="223" t="str">
        <f t="shared" si="102"/>
        <v>14:56</v>
      </c>
      <c r="M504" s="225">
        <f t="shared" si="103"/>
        <v>0.62222222222222223</v>
      </c>
      <c r="N504" s="210" t="s">
        <v>751</v>
      </c>
      <c r="O504" s="209" t="s">
        <v>274</v>
      </c>
      <c r="P504" s="210" t="s">
        <v>635</v>
      </c>
      <c r="Q504" s="210" t="s">
        <v>276</v>
      </c>
    </row>
    <row r="505" spans="1:17" s="211" customFormat="1">
      <c r="A505" s="13">
        <v>505</v>
      </c>
      <c r="B505" s="209" t="s">
        <v>752</v>
      </c>
      <c r="C505" s="209" t="s">
        <v>753</v>
      </c>
      <c r="D505" s="209" t="s">
        <v>754</v>
      </c>
      <c r="E505" s="209" t="s">
        <v>755</v>
      </c>
      <c r="F505" s="222">
        <f t="shared" si="96"/>
        <v>13</v>
      </c>
      <c r="G505" s="223" t="str">
        <f t="shared" si="97"/>
        <v>15</v>
      </c>
      <c r="H505" s="224">
        <f t="shared" si="98"/>
        <v>15</v>
      </c>
      <c r="I505" s="223" t="str">
        <f t="shared" si="99"/>
        <v>31 min.</v>
      </c>
      <c r="J505" s="223" t="str">
        <f t="shared" si="100"/>
        <v>31</v>
      </c>
      <c r="K505" s="224">
        <f t="shared" si="101"/>
        <v>31</v>
      </c>
      <c r="L505" s="223" t="str">
        <f t="shared" si="102"/>
        <v>15:31</v>
      </c>
      <c r="M505" s="225">
        <f t="shared" si="103"/>
        <v>0.64652777777777781</v>
      </c>
      <c r="N505" s="210" t="s">
        <v>756</v>
      </c>
      <c r="O505" s="209" t="s">
        <v>371</v>
      </c>
      <c r="P505" s="210" t="s">
        <v>635</v>
      </c>
      <c r="Q505" s="210" t="s">
        <v>276</v>
      </c>
    </row>
    <row r="506" spans="1:17" s="211" customFormat="1">
      <c r="A506" s="13">
        <v>506</v>
      </c>
      <c r="B506" s="209" t="s">
        <v>757</v>
      </c>
      <c r="C506" s="209" t="s">
        <v>758</v>
      </c>
      <c r="D506" s="209" t="s">
        <v>759</v>
      </c>
      <c r="E506" s="209" t="s">
        <v>674</v>
      </c>
      <c r="F506" s="222">
        <f t="shared" si="96"/>
        <v>12</v>
      </c>
      <c r="G506" s="223" t="str">
        <f t="shared" si="97"/>
        <v>4</v>
      </c>
      <c r="H506" s="224">
        <f t="shared" si="98"/>
        <v>4</v>
      </c>
      <c r="I506" s="223" t="str">
        <f t="shared" si="99"/>
        <v>27 min.</v>
      </c>
      <c r="J506" s="223" t="str">
        <f t="shared" si="100"/>
        <v>27</v>
      </c>
      <c r="K506" s="224">
        <f t="shared" si="101"/>
        <v>27</v>
      </c>
      <c r="L506" s="223" t="str">
        <f t="shared" si="102"/>
        <v>4:27</v>
      </c>
      <c r="M506" s="225">
        <f t="shared" si="103"/>
        <v>0.18541666666666667</v>
      </c>
      <c r="N506" s="210" t="s">
        <v>760</v>
      </c>
      <c r="O506" s="209" t="s">
        <v>761</v>
      </c>
      <c r="P506" s="210" t="s">
        <v>635</v>
      </c>
      <c r="Q506" s="210" t="s">
        <v>276</v>
      </c>
    </row>
    <row r="507" spans="1:17" s="211" customFormat="1">
      <c r="A507" s="13">
        <v>507</v>
      </c>
      <c r="B507" s="209" t="s">
        <v>762</v>
      </c>
      <c r="C507" s="209" t="s">
        <v>763</v>
      </c>
      <c r="D507" s="209" t="s">
        <v>764</v>
      </c>
      <c r="E507" s="209" t="s">
        <v>765</v>
      </c>
      <c r="F507" s="222">
        <f t="shared" si="96"/>
        <v>12</v>
      </c>
      <c r="G507" s="223" t="str">
        <f t="shared" si="97"/>
        <v>3</v>
      </c>
      <c r="H507" s="224">
        <f t="shared" si="98"/>
        <v>3</v>
      </c>
      <c r="I507" s="223" t="str">
        <f t="shared" si="99"/>
        <v>08 min.</v>
      </c>
      <c r="J507" s="223" t="str">
        <f t="shared" si="100"/>
        <v>08</v>
      </c>
      <c r="K507" s="224">
        <f t="shared" si="101"/>
        <v>8</v>
      </c>
      <c r="L507" s="223" t="str">
        <f t="shared" si="102"/>
        <v>3:8</v>
      </c>
      <c r="M507" s="225">
        <f t="shared" si="103"/>
        <v>0.13055555555555556</v>
      </c>
      <c r="N507" s="210" t="s">
        <v>766</v>
      </c>
      <c r="O507" s="209" t="s">
        <v>761</v>
      </c>
      <c r="P507" s="210" t="s">
        <v>635</v>
      </c>
      <c r="Q507" s="210" t="s">
        <v>276</v>
      </c>
    </row>
    <row r="508" spans="1:17" s="211" customFormat="1">
      <c r="A508" s="13">
        <v>508</v>
      </c>
      <c r="B508" s="209" t="s">
        <v>1106</v>
      </c>
      <c r="C508" s="209" t="s">
        <v>1107</v>
      </c>
      <c r="D508" s="209" t="s">
        <v>1108</v>
      </c>
      <c r="E508" s="209" t="s">
        <v>1021</v>
      </c>
      <c r="F508" s="222">
        <f t="shared" si="96"/>
        <v>12</v>
      </c>
      <c r="G508" s="223" t="str">
        <f t="shared" si="97"/>
        <v>5</v>
      </c>
      <c r="H508" s="224">
        <f t="shared" si="98"/>
        <v>5</v>
      </c>
      <c r="I508" s="223" t="str">
        <f t="shared" si="99"/>
        <v>27 min.</v>
      </c>
      <c r="J508" s="223" t="str">
        <f t="shared" si="100"/>
        <v>27</v>
      </c>
      <c r="K508" s="224">
        <f t="shared" si="101"/>
        <v>27</v>
      </c>
      <c r="L508" s="223" t="str">
        <f t="shared" si="102"/>
        <v>5:27</v>
      </c>
      <c r="M508" s="225">
        <f t="shared" si="103"/>
        <v>0.22708333333333333</v>
      </c>
      <c r="N508" s="210" t="s">
        <v>1109</v>
      </c>
      <c r="O508" s="209" t="s">
        <v>350</v>
      </c>
      <c r="P508" s="210" t="s">
        <v>635</v>
      </c>
      <c r="Q508" s="210" t="s">
        <v>276</v>
      </c>
    </row>
    <row r="509" spans="1:17" s="211" customFormat="1">
      <c r="A509" s="13">
        <v>509</v>
      </c>
      <c r="B509" s="209" t="s">
        <v>1114</v>
      </c>
      <c r="C509" s="209" t="s">
        <v>1115</v>
      </c>
      <c r="D509" s="209" t="s">
        <v>1116</v>
      </c>
      <c r="E509" s="209" t="s">
        <v>1117</v>
      </c>
      <c r="F509" s="222">
        <f t="shared" si="96"/>
        <v>13</v>
      </c>
      <c r="G509" s="223" t="str">
        <f t="shared" si="97"/>
        <v>11</v>
      </c>
      <c r="H509" s="224">
        <f t="shared" si="98"/>
        <v>11</v>
      </c>
      <c r="I509" s="223" t="str">
        <f t="shared" si="99"/>
        <v>33 min.</v>
      </c>
      <c r="J509" s="223" t="str">
        <f t="shared" si="100"/>
        <v>33</v>
      </c>
      <c r="K509" s="224">
        <f t="shared" si="101"/>
        <v>33</v>
      </c>
      <c r="L509" s="223" t="str">
        <f t="shared" si="102"/>
        <v>11:33</v>
      </c>
      <c r="M509" s="225">
        <f t="shared" si="103"/>
        <v>0.48125000000000001</v>
      </c>
      <c r="N509" s="210" t="s">
        <v>1118</v>
      </c>
      <c r="O509" s="209" t="s">
        <v>303</v>
      </c>
      <c r="P509" s="210" t="s">
        <v>635</v>
      </c>
      <c r="Q509" s="210" t="s">
        <v>276</v>
      </c>
    </row>
    <row r="510" spans="1:17" s="211" customFormat="1">
      <c r="A510" s="13">
        <v>510</v>
      </c>
      <c r="B510" s="209" t="s">
        <v>1119</v>
      </c>
      <c r="C510" s="209" t="s">
        <v>1120</v>
      </c>
      <c r="D510" s="209" t="s">
        <v>1121</v>
      </c>
      <c r="E510" s="209" t="s">
        <v>2611</v>
      </c>
      <c r="F510" s="222">
        <f t="shared" si="96"/>
        <v>13</v>
      </c>
      <c r="G510" s="223" t="str">
        <f t="shared" si="97"/>
        <v>12</v>
      </c>
      <c r="H510" s="224">
        <f t="shared" si="98"/>
        <v>12</v>
      </c>
      <c r="I510" s="223" t="str">
        <f t="shared" si="99"/>
        <v>58 min.</v>
      </c>
      <c r="J510" s="223" t="str">
        <f t="shared" si="100"/>
        <v>58</v>
      </c>
      <c r="K510" s="224">
        <f t="shared" si="101"/>
        <v>58</v>
      </c>
      <c r="L510" s="223" t="str">
        <f t="shared" si="102"/>
        <v>12:58</v>
      </c>
      <c r="M510" s="225">
        <f t="shared" si="103"/>
        <v>0.54027777777777775</v>
      </c>
      <c r="N510" s="210" t="s">
        <v>1122</v>
      </c>
      <c r="O510" s="209" t="s">
        <v>1123</v>
      </c>
      <c r="P510" s="210" t="s">
        <v>635</v>
      </c>
      <c r="Q510" s="210" t="s">
        <v>276</v>
      </c>
    </row>
    <row r="511" spans="1:17" s="211" customFormat="1">
      <c r="A511" s="13">
        <v>511</v>
      </c>
      <c r="B511" s="209" t="s">
        <v>1124</v>
      </c>
      <c r="C511" s="209" t="s">
        <v>1125</v>
      </c>
      <c r="D511" s="209" t="s">
        <v>1126</v>
      </c>
      <c r="E511" s="209" t="s">
        <v>1127</v>
      </c>
      <c r="F511" s="222">
        <f t="shared" si="96"/>
        <v>12</v>
      </c>
      <c r="G511" s="223" t="str">
        <f t="shared" si="97"/>
        <v>5</v>
      </c>
      <c r="H511" s="224">
        <f t="shared" si="98"/>
        <v>5</v>
      </c>
      <c r="I511" s="223" t="str">
        <f t="shared" si="99"/>
        <v>55 min.</v>
      </c>
      <c r="J511" s="223" t="str">
        <f t="shared" si="100"/>
        <v>55</v>
      </c>
      <c r="K511" s="224">
        <f t="shared" si="101"/>
        <v>55</v>
      </c>
      <c r="L511" s="223" t="str">
        <f t="shared" si="102"/>
        <v>5:55</v>
      </c>
      <c r="M511" s="225">
        <f t="shared" si="103"/>
        <v>0.24652777777777779</v>
      </c>
      <c r="N511" s="210" t="s">
        <v>1128</v>
      </c>
      <c r="O511" s="209" t="s">
        <v>321</v>
      </c>
      <c r="P511" s="210" t="s">
        <v>635</v>
      </c>
      <c r="Q511" s="210" t="s">
        <v>276</v>
      </c>
    </row>
    <row r="512" spans="1:17" s="211" customFormat="1">
      <c r="A512" s="13">
        <v>512</v>
      </c>
      <c r="B512" s="209" t="s">
        <v>1129</v>
      </c>
      <c r="C512" s="209" t="s">
        <v>1130</v>
      </c>
      <c r="D512" s="209" t="s">
        <v>1131</v>
      </c>
      <c r="E512" s="209" t="s">
        <v>1132</v>
      </c>
      <c r="F512" s="222">
        <f t="shared" si="96"/>
        <v>12</v>
      </c>
      <c r="G512" s="223" t="str">
        <f t="shared" si="97"/>
        <v>8</v>
      </c>
      <c r="H512" s="224">
        <f t="shared" si="98"/>
        <v>8</v>
      </c>
      <c r="I512" s="223" t="str">
        <f t="shared" si="99"/>
        <v>49 min.</v>
      </c>
      <c r="J512" s="223" t="str">
        <f t="shared" si="100"/>
        <v>49</v>
      </c>
      <c r="K512" s="224">
        <f t="shared" si="101"/>
        <v>49</v>
      </c>
      <c r="L512" s="223" t="str">
        <f t="shared" si="102"/>
        <v>8:49</v>
      </c>
      <c r="M512" s="225">
        <f t="shared" si="103"/>
        <v>0.36736111111111108</v>
      </c>
      <c r="N512" s="210" t="s">
        <v>634</v>
      </c>
      <c r="O512" s="209" t="s">
        <v>303</v>
      </c>
      <c r="P512" s="210" t="s">
        <v>635</v>
      </c>
      <c r="Q512" s="210" t="s">
        <v>276</v>
      </c>
    </row>
    <row r="513" spans="1:17" s="211" customFormat="1">
      <c r="A513" s="13">
        <v>513</v>
      </c>
      <c r="B513" s="209" t="s">
        <v>1133</v>
      </c>
      <c r="C513" s="209" t="s">
        <v>1134</v>
      </c>
      <c r="D513" s="209" t="s">
        <v>1135</v>
      </c>
      <c r="E513" s="209" t="s">
        <v>1136</v>
      </c>
      <c r="F513" s="222">
        <f t="shared" si="96"/>
        <v>13</v>
      </c>
      <c r="G513" s="223" t="str">
        <f t="shared" si="97"/>
        <v>13</v>
      </c>
      <c r="H513" s="224">
        <f t="shared" si="98"/>
        <v>13</v>
      </c>
      <c r="I513" s="223" t="str">
        <f t="shared" si="99"/>
        <v>44 min.</v>
      </c>
      <c r="J513" s="223" t="str">
        <f t="shared" si="100"/>
        <v>44</v>
      </c>
      <c r="K513" s="224">
        <f t="shared" si="101"/>
        <v>44</v>
      </c>
      <c r="L513" s="223" t="str">
        <f t="shared" si="102"/>
        <v>13:44</v>
      </c>
      <c r="M513" s="225">
        <f t="shared" si="103"/>
        <v>0.57222222222222219</v>
      </c>
      <c r="N513" s="210" t="s">
        <v>1137</v>
      </c>
      <c r="O513" s="209" t="s">
        <v>274</v>
      </c>
      <c r="P513" s="210" t="s">
        <v>635</v>
      </c>
      <c r="Q513" s="210" t="s">
        <v>276</v>
      </c>
    </row>
    <row r="514" spans="1:17" s="211" customFormat="1">
      <c r="A514" s="13">
        <v>514</v>
      </c>
      <c r="B514" s="209" t="s">
        <v>1138</v>
      </c>
      <c r="C514" s="209" t="s">
        <v>1139</v>
      </c>
      <c r="D514" s="209" t="s">
        <v>1140</v>
      </c>
      <c r="E514" s="209" t="s">
        <v>2586</v>
      </c>
      <c r="F514" s="222">
        <f t="shared" si="96"/>
        <v>13</v>
      </c>
      <c r="G514" s="223" t="str">
        <f t="shared" si="97"/>
        <v>00</v>
      </c>
      <c r="H514" s="224">
        <f t="shared" si="98"/>
        <v>0</v>
      </c>
      <c r="I514" s="223" t="str">
        <f t="shared" si="99"/>
        <v>09 min.</v>
      </c>
      <c r="J514" s="223" t="str">
        <f t="shared" si="100"/>
        <v>09</v>
      </c>
      <c r="K514" s="224">
        <f t="shared" si="101"/>
        <v>9</v>
      </c>
      <c r="L514" s="223" t="str">
        <f t="shared" si="102"/>
        <v>0:9</v>
      </c>
      <c r="M514" s="225">
        <f t="shared" si="103"/>
        <v>6.2499999999999995E-3</v>
      </c>
      <c r="N514" s="210" t="s">
        <v>1141</v>
      </c>
      <c r="O514" s="209" t="s">
        <v>343</v>
      </c>
      <c r="P514" s="210" t="s">
        <v>635</v>
      </c>
      <c r="Q514" s="210" t="s">
        <v>276</v>
      </c>
    </row>
    <row r="515" spans="1:17" s="211" customFormat="1">
      <c r="A515" s="13">
        <v>515</v>
      </c>
      <c r="B515" s="209" t="s">
        <v>1142</v>
      </c>
      <c r="C515" s="209" t="s">
        <v>1143</v>
      </c>
      <c r="D515" s="209" t="s">
        <v>1144</v>
      </c>
      <c r="E515" s="209" t="s">
        <v>1145</v>
      </c>
      <c r="F515" s="222">
        <f t="shared" si="96"/>
        <v>12</v>
      </c>
      <c r="G515" s="223" t="str">
        <f t="shared" si="97"/>
        <v>7</v>
      </c>
      <c r="H515" s="224">
        <f t="shared" si="98"/>
        <v>7</v>
      </c>
      <c r="I515" s="223" t="str">
        <f t="shared" si="99"/>
        <v>32 min.</v>
      </c>
      <c r="J515" s="223" t="str">
        <f t="shared" si="100"/>
        <v>32</v>
      </c>
      <c r="K515" s="224">
        <f t="shared" si="101"/>
        <v>32</v>
      </c>
      <c r="L515" s="223" t="str">
        <f t="shared" si="102"/>
        <v>7:32</v>
      </c>
      <c r="M515" s="225">
        <f t="shared" si="103"/>
        <v>0.31388888888888888</v>
      </c>
      <c r="N515" s="210" t="s">
        <v>1146</v>
      </c>
      <c r="O515" s="209" t="s">
        <v>360</v>
      </c>
      <c r="P515" s="210" t="s">
        <v>635</v>
      </c>
      <c r="Q515" s="210" t="s">
        <v>276</v>
      </c>
    </row>
    <row r="516" spans="1:17" s="211" customFormat="1">
      <c r="A516" s="13">
        <v>516</v>
      </c>
      <c r="B516" s="209" t="s">
        <v>1156</v>
      </c>
      <c r="C516" s="209" t="s">
        <v>1157</v>
      </c>
      <c r="D516" s="209" t="s">
        <v>1158</v>
      </c>
      <c r="E516" s="209" t="s">
        <v>1159</v>
      </c>
      <c r="F516" s="222">
        <f t="shared" si="96"/>
        <v>12</v>
      </c>
      <c r="G516" s="223" t="str">
        <f t="shared" si="97"/>
        <v>2</v>
      </c>
      <c r="H516" s="224">
        <f t="shared" si="98"/>
        <v>2</v>
      </c>
      <c r="I516" s="223" t="str">
        <f t="shared" si="99"/>
        <v>23 min.</v>
      </c>
      <c r="J516" s="223" t="str">
        <f t="shared" si="100"/>
        <v>23</v>
      </c>
      <c r="K516" s="224">
        <f t="shared" si="101"/>
        <v>23</v>
      </c>
      <c r="L516" s="223" t="str">
        <f t="shared" si="102"/>
        <v>2:23</v>
      </c>
      <c r="M516" s="225">
        <f t="shared" si="103"/>
        <v>9.930555555555555E-2</v>
      </c>
      <c r="N516" s="210" t="s">
        <v>1160</v>
      </c>
      <c r="O516" s="209" t="s">
        <v>1161</v>
      </c>
      <c r="P516" s="210" t="s">
        <v>635</v>
      </c>
      <c r="Q516" s="210" t="s">
        <v>276</v>
      </c>
    </row>
    <row r="517" spans="1:17" s="211" customFormat="1">
      <c r="A517" s="13">
        <v>517</v>
      </c>
      <c r="B517" s="209" t="s">
        <v>1736</v>
      </c>
      <c r="C517" s="209" t="s">
        <v>1120</v>
      </c>
      <c r="D517" s="209" t="s">
        <v>1737</v>
      </c>
      <c r="E517" s="209" t="s">
        <v>453</v>
      </c>
      <c r="F517" s="222">
        <f t="shared" si="96"/>
        <v>12</v>
      </c>
      <c r="G517" s="223" t="str">
        <f t="shared" si="97"/>
        <v>1</v>
      </c>
      <c r="H517" s="224">
        <f t="shared" si="98"/>
        <v>1</v>
      </c>
      <c r="I517" s="223" t="str">
        <f t="shared" si="99"/>
        <v>07 min.</v>
      </c>
      <c r="J517" s="223" t="str">
        <f t="shared" si="100"/>
        <v>07</v>
      </c>
      <c r="K517" s="224">
        <f t="shared" si="101"/>
        <v>7</v>
      </c>
      <c r="L517" s="223" t="str">
        <f t="shared" si="102"/>
        <v>1:7</v>
      </c>
      <c r="M517" s="225">
        <f t="shared" si="103"/>
        <v>4.6527777777777779E-2</v>
      </c>
      <c r="N517" s="210" t="s">
        <v>1738</v>
      </c>
      <c r="O517" s="209" t="s">
        <v>343</v>
      </c>
      <c r="P517" s="210" t="s">
        <v>635</v>
      </c>
      <c r="Q517" s="210" t="s">
        <v>276</v>
      </c>
    </row>
    <row r="518" spans="1:17" s="211" customFormat="1">
      <c r="A518" s="13">
        <v>518</v>
      </c>
      <c r="B518" s="209" t="s">
        <v>1739</v>
      </c>
      <c r="C518" s="209" t="s">
        <v>1740</v>
      </c>
      <c r="D518" s="209" t="s">
        <v>1741</v>
      </c>
      <c r="E518" s="209" t="s">
        <v>1742</v>
      </c>
      <c r="F518" s="222">
        <f t="shared" si="96"/>
        <v>12</v>
      </c>
      <c r="G518" s="223" t="str">
        <f t="shared" si="97"/>
        <v>6</v>
      </c>
      <c r="H518" s="224">
        <f t="shared" si="98"/>
        <v>6</v>
      </c>
      <c r="I518" s="223" t="str">
        <f t="shared" si="99"/>
        <v>03 min.</v>
      </c>
      <c r="J518" s="223" t="str">
        <f t="shared" si="100"/>
        <v>03</v>
      </c>
      <c r="K518" s="224">
        <f t="shared" si="101"/>
        <v>3</v>
      </c>
      <c r="L518" s="223" t="str">
        <f t="shared" si="102"/>
        <v>6:3</v>
      </c>
      <c r="M518" s="225">
        <f t="shared" si="103"/>
        <v>0.25208333333333333</v>
      </c>
      <c r="N518" s="210" t="s">
        <v>1743</v>
      </c>
      <c r="O518" s="209" t="s">
        <v>811</v>
      </c>
      <c r="P518" s="210" t="s">
        <v>635</v>
      </c>
      <c r="Q518" s="210" t="s">
        <v>276</v>
      </c>
    </row>
    <row r="519" spans="1:17" s="211" customFormat="1">
      <c r="A519" s="13">
        <v>519</v>
      </c>
      <c r="B519" s="209" t="s">
        <v>1744</v>
      </c>
      <c r="C519" s="209" t="s">
        <v>1745</v>
      </c>
      <c r="D519" s="209" t="s">
        <v>1746</v>
      </c>
      <c r="E519" s="209" t="s">
        <v>1747</v>
      </c>
      <c r="F519" s="222">
        <f t="shared" si="96"/>
        <v>13</v>
      </c>
      <c r="G519" s="223" t="str">
        <f t="shared" si="97"/>
        <v>10</v>
      </c>
      <c r="H519" s="224">
        <f t="shared" si="98"/>
        <v>10</v>
      </c>
      <c r="I519" s="223" t="str">
        <f t="shared" si="99"/>
        <v>13 min.</v>
      </c>
      <c r="J519" s="223" t="str">
        <f t="shared" si="100"/>
        <v>13</v>
      </c>
      <c r="K519" s="224">
        <f t="shared" si="101"/>
        <v>13</v>
      </c>
      <c r="L519" s="223" t="str">
        <f t="shared" si="102"/>
        <v>10:13</v>
      </c>
      <c r="M519" s="225">
        <f t="shared" si="103"/>
        <v>0.42569444444444443</v>
      </c>
      <c r="N519" s="210" t="s">
        <v>1748</v>
      </c>
      <c r="O519" s="209" t="s">
        <v>303</v>
      </c>
      <c r="P519" s="210" t="s">
        <v>635</v>
      </c>
      <c r="Q519" s="210" t="s">
        <v>276</v>
      </c>
    </row>
    <row r="520" spans="1:17" s="211" customFormat="1">
      <c r="A520" s="13">
        <v>520</v>
      </c>
      <c r="B520" s="209" t="s">
        <v>1749</v>
      </c>
      <c r="C520" s="209" t="s">
        <v>1750</v>
      </c>
      <c r="D520" s="209" t="s">
        <v>1751</v>
      </c>
      <c r="E520" s="209" t="s">
        <v>1752</v>
      </c>
      <c r="F520" s="222">
        <f t="shared" si="96"/>
        <v>13</v>
      </c>
      <c r="G520" s="223" t="str">
        <f t="shared" si="97"/>
        <v>17</v>
      </c>
      <c r="H520" s="224">
        <f t="shared" si="98"/>
        <v>17</v>
      </c>
      <c r="I520" s="223" t="str">
        <f t="shared" si="99"/>
        <v>12 min.</v>
      </c>
      <c r="J520" s="223" t="str">
        <f t="shared" si="100"/>
        <v>12</v>
      </c>
      <c r="K520" s="224">
        <f t="shared" si="101"/>
        <v>12</v>
      </c>
      <c r="L520" s="223" t="str">
        <f t="shared" si="102"/>
        <v>17:12</v>
      </c>
      <c r="M520" s="225">
        <f t="shared" si="103"/>
        <v>0.71666666666666667</v>
      </c>
      <c r="N520" s="210" t="s">
        <v>1753</v>
      </c>
      <c r="O520" s="209" t="s">
        <v>303</v>
      </c>
      <c r="P520" s="210" t="s">
        <v>635</v>
      </c>
      <c r="Q520" s="210" t="s">
        <v>276</v>
      </c>
    </row>
    <row r="521" spans="1:17" s="211" customFormat="1">
      <c r="A521" s="13">
        <v>521</v>
      </c>
      <c r="B521" s="209" t="s">
        <v>1754</v>
      </c>
      <c r="C521" s="209" t="s">
        <v>1755</v>
      </c>
      <c r="D521" s="209" t="s">
        <v>1756</v>
      </c>
      <c r="E521" s="209" t="s">
        <v>432</v>
      </c>
      <c r="F521" s="222">
        <f t="shared" si="96"/>
        <v>12</v>
      </c>
      <c r="G521" s="223" t="str">
        <f t="shared" si="97"/>
        <v>6</v>
      </c>
      <c r="H521" s="224">
        <f t="shared" si="98"/>
        <v>6</v>
      </c>
      <c r="I521" s="223" t="str">
        <f t="shared" si="99"/>
        <v>47 min.</v>
      </c>
      <c r="J521" s="223" t="str">
        <f t="shared" si="100"/>
        <v>47</v>
      </c>
      <c r="K521" s="224">
        <f t="shared" si="101"/>
        <v>47</v>
      </c>
      <c r="L521" s="223" t="str">
        <f t="shared" si="102"/>
        <v>6:47</v>
      </c>
      <c r="M521" s="225">
        <f t="shared" si="103"/>
        <v>0.28263888888888888</v>
      </c>
      <c r="N521" s="210" t="s">
        <v>1757</v>
      </c>
      <c r="O521" s="209" t="s">
        <v>274</v>
      </c>
      <c r="P521" s="210" t="s">
        <v>635</v>
      </c>
      <c r="Q521" s="210" t="s">
        <v>276</v>
      </c>
    </row>
    <row r="522" spans="1:17" s="211" customFormat="1">
      <c r="A522" s="13">
        <v>522</v>
      </c>
      <c r="B522" s="209" t="s">
        <v>1758</v>
      </c>
      <c r="C522" s="209" t="s">
        <v>1759</v>
      </c>
      <c r="D522" s="209" t="s">
        <v>1760</v>
      </c>
      <c r="E522" s="209" t="s">
        <v>2585</v>
      </c>
      <c r="F522" s="222">
        <f t="shared" si="96"/>
        <v>13</v>
      </c>
      <c r="G522" s="223" t="str">
        <f t="shared" si="97"/>
        <v>00</v>
      </c>
      <c r="H522" s="224">
        <f t="shared" si="98"/>
        <v>0</v>
      </c>
      <c r="I522" s="223" t="str">
        <f t="shared" si="99"/>
        <v>44 min.</v>
      </c>
      <c r="J522" s="223" t="str">
        <f t="shared" si="100"/>
        <v>44</v>
      </c>
      <c r="K522" s="224">
        <f t="shared" si="101"/>
        <v>44</v>
      </c>
      <c r="L522" s="223" t="str">
        <f t="shared" si="102"/>
        <v>0:44</v>
      </c>
      <c r="M522" s="225">
        <f t="shared" si="103"/>
        <v>3.0555555555555555E-2</v>
      </c>
      <c r="N522" s="210" t="s">
        <v>1757</v>
      </c>
      <c r="O522" s="209" t="s">
        <v>343</v>
      </c>
      <c r="P522" s="210" t="s">
        <v>635</v>
      </c>
      <c r="Q522" s="210" t="s">
        <v>276</v>
      </c>
    </row>
    <row r="523" spans="1:17" s="211" customFormat="1">
      <c r="A523" s="13">
        <v>523</v>
      </c>
      <c r="B523" s="209" t="s">
        <v>1761</v>
      </c>
      <c r="C523" s="209" t="s">
        <v>1762</v>
      </c>
      <c r="D523" s="209" t="s">
        <v>1763</v>
      </c>
      <c r="E523" s="209" t="s">
        <v>2610</v>
      </c>
      <c r="F523" s="222">
        <f t="shared" si="96"/>
        <v>13</v>
      </c>
      <c r="G523" s="223" t="str">
        <f t="shared" si="97"/>
        <v>12</v>
      </c>
      <c r="H523" s="224">
        <f t="shared" si="98"/>
        <v>12</v>
      </c>
      <c r="I523" s="223" t="str">
        <f t="shared" si="99"/>
        <v>45 min.</v>
      </c>
      <c r="J523" s="223" t="str">
        <f t="shared" si="100"/>
        <v>45</v>
      </c>
      <c r="K523" s="224">
        <f t="shared" si="101"/>
        <v>45</v>
      </c>
      <c r="L523" s="223" t="str">
        <f t="shared" si="102"/>
        <v>12:45</v>
      </c>
      <c r="M523" s="225">
        <f t="shared" si="103"/>
        <v>0.53125</v>
      </c>
      <c r="N523" s="210" t="s">
        <v>1764</v>
      </c>
      <c r="O523" s="209" t="s">
        <v>274</v>
      </c>
      <c r="P523" s="210" t="s">
        <v>635</v>
      </c>
      <c r="Q523" s="210" t="s">
        <v>276</v>
      </c>
    </row>
    <row r="524" spans="1:17" s="211" customFormat="1">
      <c r="A524" s="13">
        <v>524</v>
      </c>
      <c r="B524" s="209" t="s">
        <v>1765</v>
      </c>
      <c r="C524" s="209" t="s">
        <v>1766</v>
      </c>
      <c r="D524" s="209" t="s">
        <v>1767</v>
      </c>
      <c r="E524" s="209" t="s">
        <v>1768</v>
      </c>
      <c r="F524" s="222">
        <f t="shared" si="96"/>
        <v>13</v>
      </c>
      <c r="G524" s="223" t="str">
        <f t="shared" si="97"/>
        <v>16</v>
      </c>
      <c r="H524" s="224">
        <f t="shared" si="98"/>
        <v>16</v>
      </c>
      <c r="I524" s="223" t="str">
        <f t="shared" si="99"/>
        <v>05 min.</v>
      </c>
      <c r="J524" s="223" t="str">
        <f t="shared" si="100"/>
        <v>05</v>
      </c>
      <c r="K524" s="224">
        <f t="shared" si="101"/>
        <v>5</v>
      </c>
      <c r="L524" s="223" t="str">
        <f t="shared" si="102"/>
        <v>16:5</v>
      </c>
      <c r="M524" s="225">
        <f t="shared" si="103"/>
        <v>0.67013888888888884</v>
      </c>
      <c r="N524" s="210" t="s">
        <v>1769</v>
      </c>
      <c r="O524" s="209" t="s">
        <v>371</v>
      </c>
      <c r="P524" s="210" t="s">
        <v>635</v>
      </c>
      <c r="Q524" s="210" t="s">
        <v>276</v>
      </c>
    </row>
    <row r="525" spans="1:17" s="211" customFormat="1">
      <c r="A525" s="13">
        <v>525</v>
      </c>
      <c r="B525" s="209" t="s">
        <v>1770</v>
      </c>
      <c r="C525" s="209" t="s">
        <v>1771</v>
      </c>
      <c r="D525" s="209" t="s">
        <v>1772</v>
      </c>
      <c r="E525" s="209" t="s">
        <v>892</v>
      </c>
      <c r="F525" s="222">
        <f t="shared" si="96"/>
        <v>12</v>
      </c>
      <c r="G525" s="223" t="str">
        <f t="shared" si="97"/>
        <v>9</v>
      </c>
      <c r="H525" s="224">
        <f t="shared" si="98"/>
        <v>9</v>
      </c>
      <c r="I525" s="223" t="str">
        <f t="shared" si="99"/>
        <v>18 min.</v>
      </c>
      <c r="J525" s="223" t="str">
        <f t="shared" si="100"/>
        <v>18</v>
      </c>
      <c r="K525" s="224">
        <f t="shared" si="101"/>
        <v>18</v>
      </c>
      <c r="L525" s="223" t="str">
        <f t="shared" si="102"/>
        <v>9:18</v>
      </c>
      <c r="M525" s="225">
        <f t="shared" si="103"/>
        <v>0.38750000000000001</v>
      </c>
      <c r="N525" s="210" t="s">
        <v>1773</v>
      </c>
      <c r="O525" s="209" t="s">
        <v>496</v>
      </c>
      <c r="P525" s="210" t="s">
        <v>635</v>
      </c>
      <c r="Q525" s="210" t="s">
        <v>276</v>
      </c>
    </row>
    <row r="526" spans="1:17" s="211" customFormat="1">
      <c r="A526" s="13">
        <v>526</v>
      </c>
      <c r="B526" s="209" t="s">
        <v>1774</v>
      </c>
      <c r="C526" s="209" t="s">
        <v>1775</v>
      </c>
      <c r="D526" s="209" t="s">
        <v>1776</v>
      </c>
      <c r="E526" s="209" t="s">
        <v>1777</v>
      </c>
      <c r="F526" s="222">
        <f t="shared" si="96"/>
        <v>13</v>
      </c>
      <c r="G526" s="223" t="str">
        <f t="shared" si="97"/>
        <v>19</v>
      </c>
      <c r="H526" s="224">
        <f t="shared" si="98"/>
        <v>19</v>
      </c>
      <c r="I526" s="223" t="str">
        <f t="shared" si="99"/>
        <v>39 min.</v>
      </c>
      <c r="J526" s="223" t="str">
        <f t="shared" si="100"/>
        <v>39</v>
      </c>
      <c r="K526" s="224">
        <f t="shared" si="101"/>
        <v>39</v>
      </c>
      <c r="L526" s="223" t="str">
        <f t="shared" si="102"/>
        <v>19:39</v>
      </c>
      <c r="M526" s="225">
        <f t="shared" si="103"/>
        <v>0.81874999999999998</v>
      </c>
      <c r="N526" s="210" t="s">
        <v>1146</v>
      </c>
      <c r="O526" s="209" t="s">
        <v>303</v>
      </c>
      <c r="P526" s="210" t="s">
        <v>635</v>
      </c>
      <c r="Q526" s="210" t="s">
        <v>276</v>
      </c>
    </row>
    <row r="527" spans="1:17" s="211" customFormat="1">
      <c r="A527" s="13">
        <v>527</v>
      </c>
      <c r="B527" s="209" t="s">
        <v>1778</v>
      </c>
      <c r="C527" s="209" t="s">
        <v>1779</v>
      </c>
      <c r="D527" s="209" t="s">
        <v>1780</v>
      </c>
      <c r="E527" s="209" t="s">
        <v>1781</v>
      </c>
      <c r="F527" s="222">
        <f t="shared" si="96"/>
        <v>13</v>
      </c>
      <c r="G527" s="223" t="str">
        <f t="shared" si="97"/>
        <v>13</v>
      </c>
      <c r="H527" s="224">
        <f t="shared" si="98"/>
        <v>13</v>
      </c>
      <c r="I527" s="223" t="str">
        <f t="shared" si="99"/>
        <v>32 min.</v>
      </c>
      <c r="J527" s="223" t="str">
        <f t="shared" si="100"/>
        <v>32</v>
      </c>
      <c r="K527" s="224">
        <f t="shared" si="101"/>
        <v>32</v>
      </c>
      <c r="L527" s="223" t="str">
        <f t="shared" si="102"/>
        <v>13:32</v>
      </c>
      <c r="M527" s="225">
        <f t="shared" si="103"/>
        <v>0.56388888888888888</v>
      </c>
      <c r="N527" s="210" t="s">
        <v>1782</v>
      </c>
      <c r="O527" s="209" t="s">
        <v>292</v>
      </c>
      <c r="P527" s="210" t="s">
        <v>635</v>
      </c>
      <c r="Q527" s="210" t="s">
        <v>276</v>
      </c>
    </row>
    <row r="528" spans="1:17" s="211" customFormat="1">
      <c r="A528" s="13">
        <v>528</v>
      </c>
      <c r="B528" s="209" t="s">
        <v>1783</v>
      </c>
      <c r="C528" s="209" t="s">
        <v>1784</v>
      </c>
      <c r="D528" s="209" t="s">
        <v>1785</v>
      </c>
      <c r="E528" s="209" t="s">
        <v>1786</v>
      </c>
      <c r="F528" s="222">
        <f t="shared" si="96"/>
        <v>12</v>
      </c>
      <c r="G528" s="223" t="str">
        <f t="shared" si="97"/>
        <v>2</v>
      </c>
      <c r="H528" s="224">
        <f t="shared" si="98"/>
        <v>2</v>
      </c>
      <c r="I528" s="223" t="str">
        <f t="shared" si="99"/>
        <v>43 min.</v>
      </c>
      <c r="J528" s="223" t="str">
        <f t="shared" si="100"/>
        <v>43</v>
      </c>
      <c r="K528" s="224">
        <f t="shared" si="101"/>
        <v>43</v>
      </c>
      <c r="L528" s="223" t="str">
        <f t="shared" si="102"/>
        <v>2:43</v>
      </c>
      <c r="M528" s="225">
        <f t="shared" si="103"/>
        <v>0.11319444444444444</v>
      </c>
      <c r="N528" s="210" t="s">
        <v>1787</v>
      </c>
      <c r="O528" s="209" t="s">
        <v>310</v>
      </c>
      <c r="P528" s="210" t="s">
        <v>635</v>
      </c>
      <c r="Q528" s="210" t="s">
        <v>276</v>
      </c>
    </row>
    <row r="529" spans="1:17" s="211" customFormat="1">
      <c r="A529" s="13">
        <v>529</v>
      </c>
      <c r="B529" s="209" t="s">
        <v>2386</v>
      </c>
      <c r="C529" s="209" t="s">
        <v>2387</v>
      </c>
      <c r="D529" s="209" t="s">
        <v>2388</v>
      </c>
      <c r="E529" s="209" t="s">
        <v>2389</v>
      </c>
      <c r="F529" s="222">
        <f t="shared" si="96"/>
        <v>13</v>
      </c>
      <c r="G529" s="223" t="str">
        <f t="shared" si="97"/>
        <v>16</v>
      </c>
      <c r="H529" s="224">
        <f t="shared" si="98"/>
        <v>16</v>
      </c>
      <c r="I529" s="223" t="str">
        <f t="shared" si="99"/>
        <v>10 min.</v>
      </c>
      <c r="J529" s="223" t="str">
        <f t="shared" si="100"/>
        <v>10</v>
      </c>
      <c r="K529" s="224">
        <f t="shared" si="101"/>
        <v>10</v>
      </c>
      <c r="L529" s="223" t="str">
        <f t="shared" si="102"/>
        <v>16:10</v>
      </c>
      <c r="M529" s="225">
        <f t="shared" si="103"/>
        <v>0.67361111111111116</v>
      </c>
      <c r="N529" s="210" t="s">
        <v>2390</v>
      </c>
      <c r="O529" s="209" t="s">
        <v>1288</v>
      </c>
      <c r="P529" s="210" t="s">
        <v>635</v>
      </c>
      <c r="Q529" s="210" t="s">
        <v>276</v>
      </c>
    </row>
    <row r="530" spans="1:17" s="211" customFormat="1">
      <c r="A530" s="13">
        <v>530</v>
      </c>
      <c r="B530" s="209" t="s">
        <v>2391</v>
      </c>
      <c r="C530" s="209" t="s">
        <v>2392</v>
      </c>
      <c r="D530" s="209" t="s">
        <v>2393</v>
      </c>
      <c r="E530" s="209" t="s">
        <v>341</v>
      </c>
      <c r="F530" s="222">
        <f t="shared" si="96"/>
        <v>12</v>
      </c>
      <c r="G530" s="223" t="str">
        <f t="shared" si="97"/>
        <v>5</v>
      </c>
      <c r="H530" s="224">
        <f t="shared" si="98"/>
        <v>5</v>
      </c>
      <c r="I530" s="223" t="str">
        <f t="shared" si="99"/>
        <v>45 min.</v>
      </c>
      <c r="J530" s="223" t="str">
        <f t="shared" si="100"/>
        <v>45</v>
      </c>
      <c r="K530" s="224">
        <f t="shared" si="101"/>
        <v>45</v>
      </c>
      <c r="L530" s="223" t="str">
        <f t="shared" si="102"/>
        <v>5:45</v>
      </c>
      <c r="M530" s="225">
        <f t="shared" si="103"/>
        <v>0.23958333333333334</v>
      </c>
      <c r="N530" s="210" t="s">
        <v>1773</v>
      </c>
      <c r="O530" s="209" t="s">
        <v>274</v>
      </c>
      <c r="P530" s="210" t="s">
        <v>635</v>
      </c>
      <c r="Q530" s="210" t="s">
        <v>276</v>
      </c>
    </row>
    <row r="531" spans="1:17" s="13" customFormat="1">
      <c r="A531" s="13">
        <v>531</v>
      </c>
      <c r="B531" s="226">
        <f>COUNTA(B502:B530)</f>
        <v>29</v>
      </c>
      <c r="C531" s="165"/>
      <c r="D531" s="165"/>
      <c r="E531" s="165"/>
      <c r="F531" s="222"/>
      <c r="G531" s="223"/>
      <c r="H531" s="224"/>
      <c r="I531" s="223"/>
      <c r="J531" s="223"/>
      <c r="K531" s="224"/>
      <c r="L531" s="223"/>
      <c r="M531" s="229">
        <f>SUM(M502:M530)</f>
        <v>11.035416666666665</v>
      </c>
      <c r="N531" s="167"/>
      <c r="O531" s="165"/>
      <c r="P531" s="167"/>
      <c r="Q531" s="167"/>
    </row>
    <row r="532" spans="1:17" s="13" customFormat="1">
      <c r="A532" s="13">
        <v>532</v>
      </c>
      <c r="B532" s="227">
        <v>29</v>
      </c>
      <c r="C532" s="165"/>
      <c r="D532" s="165"/>
      <c r="E532" s="165"/>
      <c r="F532" s="222"/>
      <c r="G532" s="223"/>
      <c r="H532" s="224"/>
      <c r="I532" s="223"/>
      <c r="J532" s="223"/>
      <c r="K532" s="224"/>
      <c r="L532" s="223"/>
      <c r="M532" s="228">
        <v>11.035416666666668</v>
      </c>
      <c r="N532" s="171" t="s">
        <v>173</v>
      </c>
      <c r="O532" s="165"/>
      <c r="P532" s="167"/>
      <c r="Q532" s="167"/>
    </row>
    <row r="533" spans="1:17" s="13" customFormat="1">
      <c r="A533" s="13">
        <v>533</v>
      </c>
      <c r="B533" s="227">
        <v>29</v>
      </c>
      <c r="C533" s="230" t="s">
        <v>2606</v>
      </c>
      <c r="D533" s="165"/>
      <c r="E533" s="165"/>
      <c r="F533" s="222"/>
      <c r="G533" s="223"/>
      <c r="H533" s="224"/>
      <c r="I533" s="223"/>
      <c r="J533" s="223"/>
      <c r="K533" s="224"/>
      <c r="L533" s="223"/>
      <c r="M533" s="228">
        <v>11.036805555555555</v>
      </c>
      <c r="N533" s="230" t="s">
        <v>2606</v>
      </c>
      <c r="O533" s="165"/>
      <c r="P533" s="167"/>
      <c r="Q533" s="167"/>
    </row>
    <row r="534" spans="1:17" s="13" customFormat="1">
      <c r="A534" s="13">
        <v>534</v>
      </c>
      <c r="B534" s="165"/>
      <c r="C534" s="165"/>
      <c r="D534" s="165"/>
      <c r="E534" s="165"/>
      <c r="F534" s="222"/>
      <c r="G534" s="223"/>
      <c r="H534" s="224"/>
      <c r="I534" s="223"/>
      <c r="J534" s="223"/>
      <c r="K534" s="224"/>
      <c r="L534" s="223"/>
      <c r="M534" s="225"/>
      <c r="N534" s="167"/>
      <c r="O534" s="165"/>
      <c r="P534" s="167"/>
      <c r="Q534" s="167"/>
    </row>
    <row r="535" spans="1:17" s="13" customFormat="1">
      <c r="A535" s="13">
        <v>535</v>
      </c>
      <c r="B535" s="165"/>
      <c r="C535" s="165"/>
      <c r="D535" s="165"/>
      <c r="E535" s="165"/>
      <c r="F535" s="222"/>
      <c r="G535" s="223"/>
      <c r="H535" s="224"/>
      <c r="I535" s="223"/>
      <c r="J535" s="223"/>
      <c r="K535" s="224"/>
      <c r="L535" s="223"/>
      <c r="M535" s="225"/>
      <c r="N535" s="167"/>
      <c r="O535" s="165"/>
      <c r="P535" s="167"/>
      <c r="Q535" s="167"/>
    </row>
    <row r="536" spans="1:17" s="13" customFormat="1">
      <c r="A536" s="13">
        <v>536</v>
      </c>
      <c r="B536" s="165"/>
      <c r="C536" s="165"/>
      <c r="D536" s="165"/>
      <c r="E536" s="165"/>
      <c r="F536" s="222"/>
      <c r="G536" s="223"/>
      <c r="H536" s="224"/>
      <c r="I536" s="223"/>
      <c r="J536" s="223"/>
      <c r="K536" s="224"/>
      <c r="L536" s="223"/>
      <c r="M536" s="225"/>
      <c r="N536" s="167"/>
      <c r="O536" s="165"/>
      <c r="P536" s="167"/>
      <c r="Q536" s="167"/>
    </row>
    <row r="537" spans="1:17" s="13" customFormat="1">
      <c r="A537" s="13">
        <v>537</v>
      </c>
      <c r="B537" s="165"/>
      <c r="C537" s="165"/>
      <c r="D537" s="165"/>
      <c r="E537" s="165"/>
      <c r="F537" s="222"/>
      <c r="G537" s="223"/>
      <c r="H537" s="224"/>
      <c r="I537" s="223"/>
      <c r="J537" s="223"/>
      <c r="K537" s="224"/>
      <c r="L537" s="223"/>
      <c r="M537" s="225"/>
      <c r="N537" s="167"/>
      <c r="O537" s="165"/>
      <c r="P537" s="167"/>
      <c r="Q537" s="167"/>
    </row>
    <row r="538" spans="1:17" s="13" customFormat="1">
      <c r="A538" s="13">
        <v>538</v>
      </c>
      <c r="B538" s="165"/>
      <c r="C538" s="165"/>
      <c r="D538" s="165"/>
      <c r="E538" s="165"/>
      <c r="F538" s="222"/>
      <c r="G538" s="223"/>
      <c r="H538" s="224"/>
      <c r="I538" s="223"/>
      <c r="J538" s="223"/>
      <c r="K538" s="224"/>
      <c r="L538" s="223"/>
      <c r="M538" s="225"/>
      <c r="N538" s="167"/>
      <c r="O538" s="165"/>
      <c r="P538" s="167"/>
      <c r="Q538" s="167"/>
    </row>
    <row r="539" spans="1:17" s="13" customFormat="1">
      <c r="A539" s="13">
        <v>539</v>
      </c>
      <c r="B539" s="165"/>
      <c r="C539" s="165"/>
      <c r="D539" s="165"/>
      <c r="E539" s="165"/>
      <c r="F539" s="222"/>
      <c r="G539" s="223"/>
      <c r="H539" s="224"/>
      <c r="I539" s="223"/>
      <c r="J539" s="223"/>
      <c r="K539" s="224"/>
      <c r="L539" s="223"/>
      <c r="M539" s="225"/>
      <c r="N539" s="167"/>
      <c r="O539" s="165"/>
      <c r="P539" s="167"/>
      <c r="Q539" s="167"/>
    </row>
    <row r="540" spans="1:17" s="13" customFormat="1">
      <c r="A540" s="13">
        <v>540</v>
      </c>
      <c r="B540" s="165"/>
      <c r="C540" s="165"/>
      <c r="D540" s="165"/>
      <c r="E540" s="165"/>
      <c r="F540" s="222"/>
      <c r="G540" s="223"/>
      <c r="H540" s="224"/>
      <c r="I540" s="223"/>
      <c r="J540" s="223"/>
      <c r="K540" s="224"/>
      <c r="L540" s="223"/>
      <c r="M540" s="225"/>
      <c r="N540" s="167"/>
      <c r="O540" s="165"/>
      <c r="P540" s="167"/>
      <c r="Q540" s="167"/>
    </row>
    <row r="541" spans="1:17" s="214" customFormat="1">
      <c r="A541" s="13">
        <v>541</v>
      </c>
      <c r="B541" s="212" t="s">
        <v>644</v>
      </c>
      <c r="C541" s="212" t="s">
        <v>645</v>
      </c>
      <c r="D541" s="212" t="s">
        <v>646</v>
      </c>
      <c r="E541" s="212" t="s">
        <v>647</v>
      </c>
      <c r="F541" s="222">
        <f t="shared" ref="F541:F586" si="104">LEN(E541)</f>
        <v>12</v>
      </c>
      <c r="G541" s="223" t="str">
        <f t="shared" ref="G541:G586" si="105">IF(F541=12,LEFT(E541,1),LEFT(E541,2))</f>
        <v>6</v>
      </c>
      <c r="H541" s="224">
        <f t="shared" ref="H541:H586" si="106">VALUE(G541)</f>
        <v>6</v>
      </c>
      <c r="I541" s="223" t="str">
        <f t="shared" ref="I541:I586" si="107">RIGHT(E541,7)</f>
        <v>18 min.</v>
      </c>
      <c r="J541" s="223" t="str">
        <f t="shared" ref="J541:J586" si="108">LEFT(I541,2)</f>
        <v>18</v>
      </c>
      <c r="K541" s="224">
        <f t="shared" ref="K541:K586" si="109">VALUE(J541)</f>
        <v>18</v>
      </c>
      <c r="L541" s="223" t="str">
        <f t="shared" ref="L541:L586" si="110">H541&amp;":"&amp;K541</f>
        <v>6:18</v>
      </c>
      <c r="M541" s="225">
        <f t="shared" ref="M541:M586" si="111">VALUE(L541)</f>
        <v>0.26250000000000001</v>
      </c>
      <c r="N541" s="213" t="s">
        <v>648</v>
      </c>
      <c r="O541" s="212" t="s">
        <v>274</v>
      </c>
      <c r="P541" s="213" t="s">
        <v>649</v>
      </c>
      <c r="Q541" s="213" t="s">
        <v>276</v>
      </c>
    </row>
    <row r="542" spans="1:17" s="214" customFormat="1">
      <c r="A542" s="13">
        <v>542</v>
      </c>
      <c r="B542" s="212" t="s">
        <v>650</v>
      </c>
      <c r="C542" s="212" t="s">
        <v>651</v>
      </c>
      <c r="D542" s="212" t="s">
        <v>652</v>
      </c>
      <c r="E542" s="212" t="s">
        <v>653</v>
      </c>
      <c r="F542" s="222">
        <f t="shared" si="104"/>
        <v>12</v>
      </c>
      <c r="G542" s="223" t="str">
        <f t="shared" si="105"/>
        <v>2</v>
      </c>
      <c r="H542" s="224">
        <f t="shared" si="106"/>
        <v>2</v>
      </c>
      <c r="I542" s="223" t="str">
        <f t="shared" si="107"/>
        <v>30 min.</v>
      </c>
      <c r="J542" s="223" t="str">
        <f t="shared" si="108"/>
        <v>30</v>
      </c>
      <c r="K542" s="224">
        <f t="shared" si="109"/>
        <v>30</v>
      </c>
      <c r="L542" s="223" t="str">
        <f t="shared" si="110"/>
        <v>2:30</v>
      </c>
      <c r="M542" s="225">
        <f t="shared" si="111"/>
        <v>0.10416666666666667</v>
      </c>
      <c r="N542" s="213" t="s">
        <v>654</v>
      </c>
      <c r="O542" s="212" t="s">
        <v>371</v>
      </c>
      <c r="P542" s="213" t="s">
        <v>649</v>
      </c>
      <c r="Q542" s="213" t="s">
        <v>276</v>
      </c>
    </row>
    <row r="543" spans="1:17" s="214" customFormat="1">
      <c r="A543" s="13">
        <v>543</v>
      </c>
      <c r="B543" s="212" t="s">
        <v>655</v>
      </c>
      <c r="C543" s="212" t="s">
        <v>656</v>
      </c>
      <c r="D543" s="212" t="s">
        <v>657</v>
      </c>
      <c r="E543" s="212" t="s">
        <v>658</v>
      </c>
      <c r="F543" s="222">
        <f t="shared" si="104"/>
        <v>13</v>
      </c>
      <c r="G543" s="223" t="str">
        <f t="shared" si="105"/>
        <v>13</v>
      </c>
      <c r="H543" s="224">
        <f t="shared" si="106"/>
        <v>13</v>
      </c>
      <c r="I543" s="223" t="str">
        <f t="shared" si="107"/>
        <v>30 min.</v>
      </c>
      <c r="J543" s="223" t="str">
        <f t="shared" si="108"/>
        <v>30</v>
      </c>
      <c r="K543" s="224">
        <f t="shared" si="109"/>
        <v>30</v>
      </c>
      <c r="L543" s="223" t="str">
        <f t="shared" si="110"/>
        <v>13:30</v>
      </c>
      <c r="M543" s="225">
        <f t="shared" si="111"/>
        <v>0.5625</v>
      </c>
      <c r="N543" s="213" t="s">
        <v>659</v>
      </c>
      <c r="O543" s="212" t="s">
        <v>371</v>
      </c>
      <c r="P543" s="213" t="s">
        <v>649</v>
      </c>
      <c r="Q543" s="213" t="s">
        <v>276</v>
      </c>
    </row>
    <row r="544" spans="1:17" s="214" customFormat="1">
      <c r="A544" s="13">
        <v>544</v>
      </c>
      <c r="B544" s="212" t="s">
        <v>660</v>
      </c>
      <c r="C544" s="212" t="s">
        <v>661</v>
      </c>
      <c r="D544" s="212" t="s">
        <v>662</v>
      </c>
      <c r="E544" s="212" t="s">
        <v>663</v>
      </c>
      <c r="F544" s="222">
        <f t="shared" si="104"/>
        <v>13</v>
      </c>
      <c r="G544" s="223" t="str">
        <f t="shared" si="105"/>
        <v>14</v>
      </c>
      <c r="H544" s="224">
        <f t="shared" si="106"/>
        <v>14</v>
      </c>
      <c r="I544" s="223" t="str">
        <f t="shared" si="107"/>
        <v>01 min.</v>
      </c>
      <c r="J544" s="223" t="str">
        <f t="shared" si="108"/>
        <v>01</v>
      </c>
      <c r="K544" s="224">
        <f t="shared" si="109"/>
        <v>1</v>
      </c>
      <c r="L544" s="223" t="str">
        <f t="shared" si="110"/>
        <v>14:1</v>
      </c>
      <c r="M544" s="225">
        <f t="shared" si="111"/>
        <v>0.58402777777777781</v>
      </c>
      <c r="N544" s="213" t="s">
        <v>664</v>
      </c>
      <c r="O544" s="212" t="s">
        <v>303</v>
      </c>
      <c r="P544" s="213" t="s">
        <v>649</v>
      </c>
      <c r="Q544" s="213" t="s">
        <v>276</v>
      </c>
    </row>
    <row r="545" spans="1:17" s="214" customFormat="1">
      <c r="A545" s="13">
        <v>545</v>
      </c>
      <c r="B545" s="212" t="s">
        <v>665</v>
      </c>
      <c r="C545" s="212" t="s">
        <v>666</v>
      </c>
      <c r="D545" s="212" t="s">
        <v>667</v>
      </c>
      <c r="E545" s="212" t="s">
        <v>668</v>
      </c>
      <c r="F545" s="222">
        <f t="shared" si="104"/>
        <v>12</v>
      </c>
      <c r="G545" s="223" t="str">
        <f t="shared" si="105"/>
        <v>4</v>
      </c>
      <c r="H545" s="224">
        <f t="shared" si="106"/>
        <v>4</v>
      </c>
      <c r="I545" s="223" t="str">
        <f t="shared" si="107"/>
        <v>23 min.</v>
      </c>
      <c r="J545" s="223" t="str">
        <f t="shared" si="108"/>
        <v>23</v>
      </c>
      <c r="K545" s="224">
        <f t="shared" si="109"/>
        <v>23</v>
      </c>
      <c r="L545" s="223" t="str">
        <f t="shared" si="110"/>
        <v>4:23</v>
      </c>
      <c r="M545" s="225">
        <f t="shared" si="111"/>
        <v>0.18263888888888891</v>
      </c>
      <c r="N545" s="213" t="s">
        <v>669</v>
      </c>
      <c r="O545" s="212" t="s">
        <v>670</v>
      </c>
      <c r="P545" s="213" t="s">
        <v>649</v>
      </c>
      <c r="Q545" s="213" t="s">
        <v>276</v>
      </c>
    </row>
    <row r="546" spans="1:17" s="214" customFormat="1">
      <c r="A546" s="13">
        <v>546</v>
      </c>
      <c r="B546" s="212" t="s">
        <v>677</v>
      </c>
      <c r="C546" s="212" t="s">
        <v>678</v>
      </c>
      <c r="D546" s="212" t="s">
        <v>679</v>
      </c>
      <c r="E546" s="212" t="s">
        <v>680</v>
      </c>
      <c r="F546" s="222">
        <f t="shared" si="104"/>
        <v>13</v>
      </c>
      <c r="G546" s="223" t="str">
        <f t="shared" si="105"/>
        <v>22</v>
      </c>
      <c r="H546" s="224">
        <f t="shared" si="106"/>
        <v>22</v>
      </c>
      <c r="I546" s="223" t="str">
        <f t="shared" si="107"/>
        <v>20 min.</v>
      </c>
      <c r="J546" s="223" t="str">
        <f t="shared" si="108"/>
        <v>20</v>
      </c>
      <c r="K546" s="224">
        <f t="shared" si="109"/>
        <v>20</v>
      </c>
      <c r="L546" s="223" t="str">
        <f t="shared" si="110"/>
        <v>22:20</v>
      </c>
      <c r="M546" s="225">
        <f t="shared" si="111"/>
        <v>0.93055555555555547</v>
      </c>
      <c r="N546" s="213" t="s">
        <v>681</v>
      </c>
      <c r="O546" s="212" t="s">
        <v>371</v>
      </c>
      <c r="P546" s="213" t="s">
        <v>649</v>
      </c>
      <c r="Q546" s="213" t="s">
        <v>276</v>
      </c>
    </row>
    <row r="547" spans="1:17" s="214" customFormat="1">
      <c r="A547" s="13">
        <v>547</v>
      </c>
      <c r="B547" s="212" t="s">
        <v>682</v>
      </c>
      <c r="C547" s="212" t="s">
        <v>683</v>
      </c>
      <c r="D547" s="212" t="s">
        <v>684</v>
      </c>
      <c r="E547" s="212" t="s">
        <v>685</v>
      </c>
      <c r="F547" s="222">
        <f t="shared" si="104"/>
        <v>12</v>
      </c>
      <c r="G547" s="223" t="str">
        <f t="shared" si="105"/>
        <v>4</v>
      </c>
      <c r="H547" s="224">
        <f t="shared" si="106"/>
        <v>4</v>
      </c>
      <c r="I547" s="223" t="str">
        <f t="shared" si="107"/>
        <v>09 min.</v>
      </c>
      <c r="J547" s="223" t="str">
        <f t="shared" si="108"/>
        <v>09</v>
      </c>
      <c r="K547" s="224">
        <f t="shared" si="109"/>
        <v>9</v>
      </c>
      <c r="L547" s="223" t="str">
        <f t="shared" si="110"/>
        <v>4:9</v>
      </c>
      <c r="M547" s="225">
        <f t="shared" si="111"/>
        <v>0.17291666666666669</v>
      </c>
      <c r="N547" s="213" t="s">
        <v>686</v>
      </c>
      <c r="O547" s="212" t="s">
        <v>687</v>
      </c>
      <c r="P547" s="213" t="s">
        <v>649</v>
      </c>
      <c r="Q547" s="213" t="s">
        <v>276</v>
      </c>
    </row>
    <row r="548" spans="1:17" s="214" customFormat="1">
      <c r="A548" s="13">
        <v>548</v>
      </c>
      <c r="B548" s="212" t="s">
        <v>688</v>
      </c>
      <c r="C548" s="212" t="s">
        <v>689</v>
      </c>
      <c r="D548" s="212" t="s">
        <v>690</v>
      </c>
      <c r="E548" s="212" t="s">
        <v>691</v>
      </c>
      <c r="F548" s="222">
        <f t="shared" si="104"/>
        <v>13</v>
      </c>
      <c r="G548" s="223" t="str">
        <f t="shared" si="105"/>
        <v>17</v>
      </c>
      <c r="H548" s="224">
        <f t="shared" si="106"/>
        <v>17</v>
      </c>
      <c r="I548" s="223" t="str">
        <f t="shared" si="107"/>
        <v>18 min.</v>
      </c>
      <c r="J548" s="223" t="str">
        <f t="shared" si="108"/>
        <v>18</v>
      </c>
      <c r="K548" s="224">
        <f t="shared" si="109"/>
        <v>18</v>
      </c>
      <c r="L548" s="223" t="str">
        <f t="shared" si="110"/>
        <v>17:18</v>
      </c>
      <c r="M548" s="225">
        <f t="shared" si="111"/>
        <v>0.72083333333333333</v>
      </c>
      <c r="N548" s="213" t="s">
        <v>692</v>
      </c>
      <c r="O548" s="212" t="s">
        <v>693</v>
      </c>
      <c r="P548" s="213" t="s">
        <v>649</v>
      </c>
      <c r="Q548" s="213" t="s">
        <v>276</v>
      </c>
    </row>
    <row r="549" spans="1:17" s="214" customFormat="1">
      <c r="A549" s="13">
        <v>549</v>
      </c>
      <c r="B549" s="212" t="s">
        <v>694</v>
      </c>
      <c r="C549" s="212" t="s">
        <v>695</v>
      </c>
      <c r="D549" s="212" t="s">
        <v>696</v>
      </c>
      <c r="E549" s="212" t="s">
        <v>697</v>
      </c>
      <c r="F549" s="222">
        <f t="shared" si="104"/>
        <v>12</v>
      </c>
      <c r="G549" s="223" t="str">
        <f t="shared" si="105"/>
        <v>9</v>
      </c>
      <c r="H549" s="224">
        <f t="shared" si="106"/>
        <v>9</v>
      </c>
      <c r="I549" s="223" t="str">
        <f t="shared" si="107"/>
        <v>58 min.</v>
      </c>
      <c r="J549" s="223" t="str">
        <f t="shared" si="108"/>
        <v>58</v>
      </c>
      <c r="K549" s="224">
        <f t="shared" si="109"/>
        <v>58</v>
      </c>
      <c r="L549" s="223" t="str">
        <f t="shared" si="110"/>
        <v>9:58</v>
      </c>
      <c r="M549" s="225">
        <f t="shared" si="111"/>
        <v>0.4152777777777778</v>
      </c>
      <c r="N549" s="213" t="s">
        <v>698</v>
      </c>
      <c r="O549" s="212" t="s">
        <v>274</v>
      </c>
      <c r="P549" s="213" t="s">
        <v>649</v>
      </c>
      <c r="Q549" s="213" t="s">
        <v>276</v>
      </c>
    </row>
    <row r="550" spans="1:17" s="214" customFormat="1">
      <c r="A550" s="13">
        <v>550</v>
      </c>
      <c r="B550" s="212" t="s">
        <v>699</v>
      </c>
      <c r="C550" s="212" t="s">
        <v>695</v>
      </c>
      <c r="D550" s="212" t="s">
        <v>700</v>
      </c>
      <c r="E550" s="212" t="s">
        <v>701</v>
      </c>
      <c r="F550" s="222">
        <f t="shared" si="104"/>
        <v>13</v>
      </c>
      <c r="G550" s="223" t="str">
        <f t="shared" si="105"/>
        <v>11</v>
      </c>
      <c r="H550" s="224">
        <f t="shared" si="106"/>
        <v>11</v>
      </c>
      <c r="I550" s="223" t="str">
        <f t="shared" si="107"/>
        <v>48 min.</v>
      </c>
      <c r="J550" s="223" t="str">
        <f t="shared" si="108"/>
        <v>48</v>
      </c>
      <c r="K550" s="224">
        <f t="shared" si="109"/>
        <v>48</v>
      </c>
      <c r="L550" s="223" t="str">
        <f t="shared" si="110"/>
        <v>11:48</v>
      </c>
      <c r="M550" s="225">
        <f t="shared" si="111"/>
        <v>0.4916666666666667</v>
      </c>
      <c r="N550" s="213" t="s">
        <v>702</v>
      </c>
      <c r="O550" s="212" t="s">
        <v>274</v>
      </c>
      <c r="P550" s="213" t="s">
        <v>649</v>
      </c>
      <c r="Q550" s="213" t="s">
        <v>276</v>
      </c>
    </row>
    <row r="551" spans="1:17" s="214" customFormat="1">
      <c r="A551" s="13">
        <v>551</v>
      </c>
      <c r="B551" s="212" t="s">
        <v>703</v>
      </c>
      <c r="C551" s="212" t="s">
        <v>704</v>
      </c>
      <c r="D551" s="212" t="s">
        <v>705</v>
      </c>
      <c r="E551" s="212" t="s">
        <v>706</v>
      </c>
      <c r="F551" s="222">
        <f t="shared" si="104"/>
        <v>12</v>
      </c>
      <c r="G551" s="223" t="str">
        <f t="shared" si="105"/>
        <v>7</v>
      </c>
      <c r="H551" s="224">
        <f t="shared" si="106"/>
        <v>7</v>
      </c>
      <c r="I551" s="223" t="str">
        <f t="shared" si="107"/>
        <v>36 min.</v>
      </c>
      <c r="J551" s="223" t="str">
        <f t="shared" si="108"/>
        <v>36</v>
      </c>
      <c r="K551" s="224">
        <f t="shared" si="109"/>
        <v>36</v>
      </c>
      <c r="L551" s="223" t="str">
        <f t="shared" si="110"/>
        <v>7:36</v>
      </c>
      <c r="M551" s="225">
        <f t="shared" si="111"/>
        <v>0.31666666666666665</v>
      </c>
      <c r="N551" s="213" t="s">
        <v>707</v>
      </c>
      <c r="O551" s="212" t="s">
        <v>274</v>
      </c>
      <c r="P551" s="213" t="s">
        <v>649</v>
      </c>
      <c r="Q551" s="213" t="s">
        <v>276</v>
      </c>
    </row>
    <row r="552" spans="1:17" s="214" customFormat="1">
      <c r="A552" s="13">
        <v>552</v>
      </c>
      <c r="B552" s="212" t="s">
        <v>1294</v>
      </c>
      <c r="C552" s="212" t="s">
        <v>1295</v>
      </c>
      <c r="D552" s="212" t="s">
        <v>1296</v>
      </c>
      <c r="E552" s="212" t="s">
        <v>1297</v>
      </c>
      <c r="F552" s="222">
        <f t="shared" si="104"/>
        <v>13</v>
      </c>
      <c r="G552" s="223" t="str">
        <f t="shared" si="105"/>
        <v>24</v>
      </c>
      <c r="H552" s="224">
        <f t="shared" si="106"/>
        <v>24</v>
      </c>
      <c r="I552" s="223" t="str">
        <f t="shared" si="107"/>
        <v>59 min.</v>
      </c>
      <c r="J552" s="223" t="str">
        <f t="shared" si="108"/>
        <v>59</v>
      </c>
      <c r="K552" s="224">
        <f t="shared" si="109"/>
        <v>59</v>
      </c>
      <c r="L552" s="223" t="str">
        <f t="shared" si="110"/>
        <v>24:59</v>
      </c>
      <c r="M552" s="225">
        <f t="shared" si="111"/>
        <v>1.0409722222222222</v>
      </c>
      <c r="N552" s="213" t="s">
        <v>1298</v>
      </c>
      <c r="O552" s="212" t="s">
        <v>1299</v>
      </c>
      <c r="P552" s="213" t="s">
        <v>649</v>
      </c>
      <c r="Q552" s="213" t="s">
        <v>276</v>
      </c>
    </row>
    <row r="553" spans="1:17" s="214" customFormat="1">
      <c r="A553" s="13">
        <v>553</v>
      </c>
      <c r="B553" s="212" t="s">
        <v>1300</v>
      </c>
      <c r="C553" s="212" t="s">
        <v>1301</v>
      </c>
      <c r="D553" s="212" t="s">
        <v>1302</v>
      </c>
      <c r="E553" s="212" t="s">
        <v>2578</v>
      </c>
      <c r="F553" s="222">
        <f t="shared" si="104"/>
        <v>12</v>
      </c>
      <c r="G553" s="223" t="str">
        <f t="shared" si="105"/>
        <v>6</v>
      </c>
      <c r="H553" s="224">
        <f t="shared" si="106"/>
        <v>6</v>
      </c>
      <c r="I553" s="223" t="str">
        <f t="shared" si="107"/>
        <v>00 min.</v>
      </c>
      <c r="J553" s="223" t="str">
        <f t="shared" si="108"/>
        <v>00</v>
      </c>
      <c r="K553" s="224">
        <f t="shared" si="109"/>
        <v>0</v>
      </c>
      <c r="L553" s="223" t="str">
        <f t="shared" si="110"/>
        <v>6:0</v>
      </c>
      <c r="M553" s="225">
        <f t="shared" si="111"/>
        <v>0.25</v>
      </c>
      <c r="N553" s="213" t="s">
        <v>1303</v>
      </c>
      <c r="O553" s="212" t="s">
        <v>274</v>
      </c>
      <c r="P553" s="213" t="s">
        <v>649</v>
      </c>
      <c r="Q553" s="213" t="s">
        <v>276</v>
      </c>
    </row>
    <row r="554" spans="1:17" s="214" customFormat="1">
      <c r="A554" s="13">
        <v>554</v>
      </c>
      <c r="B554" s="212" t="s">
        <v>1304</v>
      </c>
      <c r="C554" s="212" t="s">
        <v>1305</v>
      </c>
      <c r="D554" s="212" t="s">
        <v>1306</v>
      </c>
      <c r="E554" s="212" t="s">
        <v>1307</v>
      </c>
      <c r="F554" s="222">
        <f t="shared" si="104"/>
        <v>13</v>
      </c>
      <c r="G554" s="223" t="str">
        <f t="shared" si="105"/>
        <v>26</v>
      </c>
      <c r="H554" s="224">
        <f t="shared" si="106"/>
        <v>26</v>
      </c>
      <c r="I554" s="223" t="str">
        <f t="shared" si="107"/>
        <v>28 min.</v>
      </c>
      <c r="J554" s="223" t="str">
        <f t="shared" si="108"/>
        <v>28</v>
      </c>
      <c r="K554" s="224">
        <f t="shared" si="109"/>
        <v>28</v>
      </c>
      <c r="L554" s="223" t="str">
        <f t="shared" si="110"/>
        <v>26:28</v>
      </c>
      <c r="M554" s="225">
        <f t="shared" si="111"/>
        <v>1.1027777777777776</v>
      </c>
      <c r="N554" s="213" t="s">
        <v>1308</v>
      </c>
      <c r="O554" s="212" t="s">
        <v>274</v>
      </c>
      <c r="P554" s="213" t="s">
        <v>649</v>
      </c>
      <c r="Q554" s="213" t="s">
        <v>276</v>
      </c>
    </row>
    <row r="555" spans="1:17" s="214" customFormat="1">
      <c r="A555" s="13">
        <v>555</v>
      </c>
      <c r="B555" s="212" t="s">
        <v>1309</v>
      </c>
      <c r="C555" s="212" t="s">
        <v>1310</v>
      </c>
      <c r="D555" s="212" t="s">
        <v>1311</v>
      </c>
      <c r="E555" s="212" t="s">
        <v>1312</v>
      </c>
      <c r="F555" s="222">
        <f t="shared" si="104"/>
        <v>12</v>
      </c>
      <c r="G555" s="223" t="str">
        <f t="shared" si="105"/>
        <v>7</v>
      </c>
      <c r="H555" s="224">
        <f t="shared" si="106"/>
        <v>7</v>
      </c>
      <c r="I555" s="223" t="str">
        <f t="shared" si="107"/>
        <v>57 min.</v>
      </c>
      <c r="J555" s="223" t="str">
        <f t="shared" si="108"/>
        <v>57</v>
      </c>
      <c r="K555" s="224">
        <f t="shared" si="109"/>
        <v>57</v>
      </c>
      <c r="L555" s="223" t="str">
        <f t="shared" si="110"/>
        <v>7:57</v>
      </c>
      <c r="M555" s="225">
        <f t="shared" si="111"/>
        <v>0.33124999999999999</v>
      </c>
      <c r="N555" s="213" t="s">
        <v>1313</v>
      </c>
      <c r="O555" s="212" t="s">
        <v>303</v>
      </c>
      <c r="P555" s="213" t="s">
        <v>649</v>
      </c>
      <c r="Q555" s="213" t="s">
        <v>276</v>
      </c>
    </row>
    <row r="556" spans="1:17" s="214" customFormat="1">
      <c r="A556" s="13">
        <v>556</v>
      </c>
      <c r="B556" s="212" t="s">
        <v>1314</v>
      </c>
      <c r="C556" s="212" t="s">
        <v>1315</v>
      </c>
      <c r="D556" s="212" t="s">
        <v>1316</v>
      </c>
      <c r="E556" s="212" t="s">
        <v>1317</v>
      </c>
      <c r="F556" s="222">
        <f t="shared" si="104"/>
        <v>12</v>
      </c>
      <c r="G556" s="223" t="str">
        <f t="shared" si="105"/>
        <v>4</v>
      </c>
      <c r="H556" s="224">
        <f t="shared" si="106"/>
        <v>4</v>
      </c>
      <c r="I556" s="223" t="str">
        <f t="shared" si="107"/>
        <v>05 min.</v>
      </c>
      <c r="J556" s="223" t="str">
        <f t="shared" si="108"/>
        <v>05</v>
      </c>
      <c r="K556" s="224">
        <f t="shared" si="109"/>
        <v>5</v>
      </c>
      <c r="L556" s="223" t="str">
        <f t="shared" si="110"/>
        <v>4:5</v>
      </c>
      <c r="M556" s="225">
        <f t="shared" si="111"/>
        <v>0.17013888888888887</v>
      </c>
      <c r="N556" s="213" t="s">
        <v>1318</v>
      </c>
      <c r="O556" s="212" t="s">
        <v>274</v>
      </c>
      <c r="P556" s="213" t="s">
        <v>649</v>
      </c>
      <c r="Q556" s="213" t="s">
        <v>276</v>
      </c>
    </row>
    <row r="557" spans="1:17" s="214" customFormat="1">
      <c r="A557" s="13">
        <v>557</v>
      </c>
      <c r="B557" s="212" t="s">
        <v>1319</v>
      </c>
      <c r="C557" s="212" t="s">
        <v>1320</v>
      </c>
      <c r="D557" s="212" t="s">
        <v>1321</v>
      </c>
      <c r="E557" s="212" t="s">
        <v>740</v>
      </c>
      <c r="F557" s="222">
        <f t="shared" si="104"/>
        <v>12</v>
      </c>
      <c r="G557" s="223" t="str">
        <f t="shared" si="105"/>
        <v>7</v>
      </c>
      <c r="H557" s="224">
        <f t="shared" si="106"/>
        <v>7</v>
      </c>
      <c r="I557" s="223" t="str">
        <f t="shared" si="107"/>
        <v>41 min.</v>
      </c>
      <c r="J557" s="223" t="str">
        <f t="shared" si="108"/>
        <v>41</v>
      </c>
      <c r="K557" s="224">
        <f t="shared" si="109"/>
        <v>41</v>
      </c>
      <c r="L557" s="223" t="str">
        <f t="shared" si="110"/>
        <v>7:41</v>
      </c>
      <c r="M557" s="225">
        <f t="shared" si="111"/>
        <v>0.32013888888888892</v>
      </c>
      <c r="N557" s="213" t="s">
        <v>1322</v>
      </c>
      <c r="O557" s="212" t="s">
        <v>292</v>
      </c>
      <c r="P557" s="213" t="s">
        <v>649</v>
      </c>
      <c r="Q557" s="213" t="s">
        <v>276</v>
      </c>
    </row>
    <row r="558" spans="1:17" s="214" customFormat="1">
      <c r="A558" s="13">
        <v>558</v>
      </c>
      <c r="B558" s="212" t="s">
        <v>1323</v>
      </c>
      <c r="C558" s="212" t="s">
        <v>1324</v>
      </c>
      <c r="D558" s="212" t="s">
        <v>1325</v>
      </c>
      <c r="E558" s="212" t="s">
        <v>1326</v>
      </c>
      <c r="F558" s="222">
        <f t="shared" si="104"/>
        <v>13</v>
      </c>
      <c r="G558" s="223" t="str">
        <f t="shared" si="105"/>
        <v>13</v>
      </c>
      <c r="H558" s="224">
        <f t="shared" si="106"/>
        <v>13</v>
      </c>
      <c r="I558" s="223" t="str">
        <f t="shared" si="107"/>
        <v>56 min.</v>
      </c>
      <c r="J558" s="223" t="str">
        <f t="shared" si="108"/>
        <v>56</v>
      </c>
      <c r="K558" s="224">
        <f t="shared" si="109"/>
        <v>56</v>
      </c>
      <c r="L558" s="223" t="str">
        <f t="shared" si="110"/>
        <v>13:56</v>
      </c>
      <c r="M558" s="225">
        <f t="shared" si="111"/>
        <v>0.5805555555555556</v>
      </c>
      <c r="N558" s="213" t="s">
        <v>1327</v>
      </c>
      <c r="O558" s="212" t="s">
        <v>286</v>
      </c>
      <c r="P558" s="213" t="s">
        <v>649</v>
      </c>
      <c r="Q558" s="213" t="s">
        <v>276</v>
      </c>
    </row>
    <row r="559" spans="1:17" s="214" customFormat="1">
      <c r="A559" s="13">
        <v>559</v>
      </c>
      <c r="B559" s="212" t="s">
        <v>1405</v>
      </c>
      <c r="C559" s="212" t="s">
        <v>1320</v>
      </c>
      <c r="D559" s="212" t="s">
        <v>1406</v>
      </c>
      <c r="E559" s="212" t="s">
        <v>1407</v>
      </c>
      <c r="F559" s="222">
        <f t="shared" si="104"/>
        <v>12</v>
      </c>
      <c r="G559" s="223" t="str">
        <f t="shared" si="105"/>
        <v>7</v>
      </c>
      <c r="H559" s="224">
        <f t="shared" si="106"/>
        <v>7</v>
      </c>
      <c r="I559" s="223" t="str">
        <f t="shared" si="107"/>
        <v>19 min.</v>
      </c>
      <c r="J559" s="223" t="str">
        <f t="shared" si="108"/>
        <v>19</v>
      </c>
      <c r="K559" s="224">
        <f t="shared" si="109"/>
        <v>19</v>
      </c>
      <c r="L559" s="223" t="str">
        <f t="shared" si="110"/>
        <v>7:19</v>
      </c>
      <c r="M559" s="225">
        <f t="shared" si="111"/>
        <v>0.30486111111111108</v>
      </c>
      <c r="N559" s="213" t="s">
        <v>1408</v>
      </c>
      <c r="O559" s="212" t="s">
        <v>292</v>
      </c>
      <c r="P559" s="213" t="s">
        <v>649</v>
      </c>
      <c r="Q559" s="213" t="s">
        <v>276</v>
      </c>
    </row>
    <row r="560" spans="1:17" s="214" customFormat="1">
      <c r="A560" s="13">
        <v>560</v>
      </c>
      <c r="B560" s="212" t="s">
        <v>1409</v>
      </c>
      <c r="C560" s="212" t="s">
        <v>1410</v>
      </c>
      <c r="D560" s="212" t="s">
        <v>1411</v>
      </c>
      <c r="E560" s="212" t="s">
        <v>1412</v>
      </c>
      <c r="F560" s="222">
        <f t="shared" si="104"/>
        <v>12</v>
      </c>
      <c r="G560" s="223" t="str">
        <f t="shared" si="105"/>
        <v>2</v>
      </c>
      <c r="H560" s="224">
        <f t="shared" si="106"/>
        <v>2</v>
      </c>
      <c r="I560" s="223" t="str">
        <f t="shared" si="107"/>
        <v>16 min.</v>
      </c>
      <c r="J560" s="223" t="str">
        <f t="shared" si="108"/>
        <v>16</v>
      </c>
      <c r="K560" s="224">
        <f t="shared" si="109"/>
        <v>16</v>
      </c>
      <c r="L560" s="223" t="str">
        <f t="shared" si="110"/>
        <v>2:16</v>
      </c>
      <c r="M560" s="225">
        <f t="shared" si="111"/>
        <v>9.4444444444444442E-2</v>
      </c>
      <c r="N560" s="213" t="s">
        <v>1413</v>
      </c>
      <c r="O560" s="212" t="s">
        <v>310</v>
      </c>
      <c r="P560" s="213" t="s">
        <v>649</v>
      </c>
      <c r="Q560" s="213" t="s">
        <v>276</v>
      </c>
    </row>
    <row r="561" spans="1:17" s="214" customFormat="1">
      <c r="A561" s="13">
        <v>561</v>
      </c>
      <c r="B561" s="212" t="s">
        <v>1414</v>
      </c>
      <c r="C561" s="212" t="s">
        <v>1415</v>
      </c>
      <c r="D561" s="212" t="s">
        <v>1416</v>
      </c>
      <c r="E561" s="212" t="s">
        <v>1417</v>
      </c>
      <c r="F561" s="222">
        <f t="shared" si="104"/>
        <v>12</v>
      </c>
      <c r="G561" s="223" t="str">
        <f t="shared" si="105"/>
        <v>6</v>
      </c>
      <c r="H561" s="224">
        <f t="shared" si="106"/>
        <v>6</v>
      </c>
      <c r="I561" s="223" t="str">
        <f t="shared" si="107"/>
        <v>13 min.</v>
      </c>
      <c r="J561" s="223" t="str">
        <f t="shared" si="108"/>
        <v>13</v>
      </c>
      <c r="K561" s="224">
        <f t="shared" si="109"/>
        <v>13</v>
      </c>
      <c r="L561" s="223" t="str">
        <f t="shared" si="110"/>
        <v>6:13</v>
      </c>
      <c r="M561" s="225">
        <f t="shared" si="111"/>
        <v>0.2590277777777778</v>
      </c>
      <c r="N561" s="213" t="s">
        <v>1418</v>
      </c>
      <c r="O561" s="212" t="s">
        <v>286</v>
      </c>
      <c r="P561" s="213" t="s">
        <v>649</v>
      </c>
      <c r="Q561" s="213" t="s">
        <v>276</v>
      </c>
    </row>
    <row r="562" spans="1:17" s="214" customFormat="1">
      <c r="A562" s="13">
        <v>562</v>
      </c>
      <c r="B562" s="212" t="s">
        <v>1419</v>
      </c>
      <c r="C562" s="212" t="s">
        <v>1420</v>
      </c>
      <c r="D562" s="212" t="s">
        <v>1421</v>
      </c>
      <c r="E562" s="212" t="s">
        <v>1422</v>
      </c>
      <c r="F562" s="222">
        <f t="shared" si="104"/>
        <v>13</v>
      </c>
      <c r="G562" s="223" t="str">
        <f t="shared" si="105"/>
        <v>11</v>
      </c>
      <c r="H562" s="224">
        <f t="shared" si="106"/>
        <v>11</v>
      </c>
      <c r="I562" s="223" t="str">
        <f t="shared" si="107"/>
        <v>04 min.</v>
      </c>
      <c r="J562" s="223" t="str">
        <f t="shared" si="108"/>
        <v>04</v>
      </c>
      <c r="K562" s="224">
        <f t="shared" si="109"/>
        <v>4</v>
      </c>
      <c r="L562" s="223" t="str">
        <f t="shared" si="110"/>
        <v>11:4</v>
      </c>
      <c r="M562" s="225">
        <f t="shared" si="111"/>
        <v>0.46111111111111108</v>
      </c>
      <c r="N562" s="213" t="s">
        <v>692</v>
      </c>
      <c r="O562" s="212" t="s">
        <v>693</v>
      </c>
      <c r="P562" s="213" t="s">
        <v>649</v>
      </c>
      <c r="Q562" s="213" t="s">
        <v>276</v>
      </c>
    </row>
    <row r="563" spans="1:17" s="214" customFormat="1">
      <c r="A563" s="13">
        <v>563</v>
      </c>
      <c r="B563" s="212" t="s">
        <v>1423</v>
      </c>
      <c r="C563" s="212" t="s">
        <v>1424</v>
      </c>
      <c r="D563" s="212" t="s">
        <v>1425</v>
      </c>
      <c r="E563" s="212" t="s">
        <v>1426</v>
      </c>
      <c r="F563" s="222">
        <f t="shared" si="104"/>
        <v>12</v>
      </c>
      <c r="G563" s="223" t="str">
        <f t="shared" si="105"/>
        <v>8</v>
      </c>
      <c r="H563" s="224">
        <f t="shared" si="106"/>
        <v>8</v>
      </c>
      <c r="I563" s="223" t="str">
        <f t="shared" si="107"/>
        <v>48 min.</v>
      </c>
      <c r="J563" s="223" t="str">
        <f t="shared" si="108"/>
        <v>48</v>
      </c>
      <c r="K563" s="224">
        <f t="shared" si="109"/>
        <v>48</v>
      </c>
      <c r="L563" s="223" t="str">
        <f t="shared" si="110"/>
        <v>8:48</v>
      </c>
      <c r="M563" s="225">
        <f t="shared" si="111"/>
        <v>0.3666666666666667</v>
      </c>
      <c r="N563" s="213" t="s">
        <v>1427</v>
      </c>
      <c r="O563" s="212" t="s">
        <v>1161</v>
      </c>
      <c r="P563" s="213" t="s">
        <v>649</v>
      </c>
      <c r="Q563" s="213" t="s">
        <v>276</v>
      </c>
    </row>
    <row r="564" spans="1:17" s="214" customFormat="1">
      <c r="A564" s="13">
        <v>564</v>
      </c>
      <c r="B564" s="212" t="s">
        <v>1433</v>
      </c>
      <c r="C564" s="212" t="s">
        <v>1434</v>
      </c>
      <c r="D564" s="212" t="s">
        <v>1435</v>
      </c>
      <c r="E564" s="212" t="s">
        <v>417</v>
      </c>
      <c r="F564" s="222">
        <f t="shared" si="104"/>
        <v>13</v>
      </c>
      <c r="G564" s="223" t="str">
        <f t="shared" si="105"/>
        <v>13</v>
      </c>
      <c r="H564" s="224">
        <f t="shared" si="106"/>
        <v>13</v>
      </c>
      <c r="I564" s="223" t="str">
        <f t="shared" si="107"/>
        <v>24 min.</v>
      </c>
      <c r="J564" s="223" t="str">
        <f t="shared" si="108"/>
        <v>24</v>
      </c>
      <c r="K564" s="224">
        <f t="shared" si="109"/>
        <v>24</v>
      </c>
      <c r="L564" s="223" t="str">
        <f t="shared" si="110"/>
        <v>13:24</v>
      </c>
      <c r="M564" s="225">
        <f t="shared" si="111"/>
        <v>0.55833333333333335</v>
      </c>
      <c r="N564" s="213" t="s">
        <v>681</v>
      </c>
      <c r="O564" s="212" t="s">
        <v>303</v>
      </c>
      <c r="P564" s="213" t="s">
        <v>649</v>
      </c>
      <c r="Q564" s="213" t="s">
        <v>276</v>
      </c>
    </row>
    <row r="565" spans="1:17" s="214" customFormat="1">
      <c r="A565" s="13">
        <v>565</v>
      </c>
      <c r="B565" s="212" t="s">
        <v>1436</v>
      </c>
      <c r="C565" s="212" t="s">
        <v>1437</v>
      </c>
      <c r="D565" s="212" t="s">
        <v>1438</v>
      </c>
      <c r="E565" s="212" t="s">
        <v>1439</v>
      </c>
      <c r="F565" s="222">
        <f t="shared" si="104"/>
        <v>12</v>
      </c>
      <c r="G565" s="223" t="str">
        <f t="shared" si="105"/>
        <v>4</v>
      </c>
      <c r="H565" s="224">
        <f t="shared" si="106"/>
        <v>4</v>
      </c>
      <c r="I565" s="223" t="str">
        <f t="shared" si="107"/>
        <v>26 min.</v>
      </c>
      <c r="J565" s="223" t="str">
        <f t="shared" si="108"/>
        <v>26</v>
      </c>
      <c r="K565" s="224">
        <f t="shared" si="109"/>
        <v>26</v>
      </c>
      <c r="L565" s="223" t="str">
        <f t="shared" si="110"/>
        <v>4:26</v>
      </c>
      <c r="M565" s="225">
        <f t="shared" si="111"/>
        <v>0.18472222222222223</v>
      </c>
      <c r="N565" s="213" t="s">
        <v>1440</v>
      </c>
      <c r="O565" s="212" t="s">
        <v>310</v>
      </c>
      <c r="P565" s="213" t="s">
        <v>649</v>
      </c>
      <c r="Q565" s="213" t="s">
        <v>276</v>
      </c>
    </row>
    <row r="566" spans="1:17" s="214" customFormat="1">
      <c r="A566" s="13">
        <v>566</v>
      </c>
      <c r="B566" s="212" t="s">
        <v>1892</v>
      </c>
      <c r="C566" s="212" t="s">
        <v>1893</v>
      </c>
      <c r="D566" s="212" t="s">
        <v>1894</v>
      </c>
      <c r="E566" s="212" t="s">
        <v>1183</v>
      </c>
      <c r="F566" s="222">
        <f t="shared" si="104"/>
        <v>12</v>
      </c>
      <c r="G566" s="223" t="str">
        <f t="shared" si="105"/>
        <v>7</v>
      </c>
      <c r="H566" s="224">
        <f t="shared" si="106"/>
        <v>7</v>
      </c>
      <c r="I566" s="223" t="str">
        <f t="shared" si="107"/>
        <v>23 min.</v>
      </c>
      <c r="J566" s="223" t="str">
        <f t="shared" si="108"/>
        <v>23</v>
      </c>
      <c r="K566" s="224">
        <f t="shared" si="109"/>
        <v>23</v>
      </c>
      <c r="L566" s="223" t="str">
        <f t="shared" si="110"/>
        <v>7:23</v>
      </c>
      <c r="M566" s="225">
        <f t="shared" si="111"/>
        <v>0.30763888888888891</v>
      </c>
      <c r="N566" s="213" t="s">
        <v>692</v>
      </c>
      <c r="O566" s="212" t="s">
        <v>310</v>
      </c>
      <c r="P566" s="213" t="s">
        <v>649</v>
      </c>
      <c r="Q566" s="213" t="s">
        <v>276</v>
      </c>
    </row>
    <row r="567" spans="1:17" s="214" customFormat="1">
      <c r="A567" s="13">
        <v>567</v>
      </c>
      <c r="B567" s="212" t="s">
        <v>1895</v>
      </c>
      <c r="C567" s="212" t="s">
        <v>558</v>
      </c>
      <c r="D567" s="212" t="s">
        <v>1896</v>
      </c>
      <c r="E567" s="212" t="s">
        <v>1897</v>
      </c>
      <c r="F567" s="222">
        <f t="shared" si="104"/>
        <v>13</v>
      </c>
      <c r="G567" s="223" t="str">
        <f t="shared" si="105"/>
        <v>13</v>
      </c>
      <c r="H567" s="224">
        <f t="shared" si="106"/>
        <v>13</v>
      </c>
      <c r="I567" s="223" t="str">
        <f t="shared" si="107"/>
        <v>19 min.</v>
      </c>
      <c r="J567" s="223" t="str">
        <f t="shared" si="108"/>
        <v>19</v>
      </c>
      <c r="K567" s="224">
        <f t="shared" si="109"/>
        <v>19</v>
      </c>
      <c r="L567" s="223" t="str">
        <f t="shared" si="110"/>
        <v>13:19</v>
      </c>
      <c r="M567" s="225">
        <f t="shared" si="111"/>
        <v>0.55486111111111114</v>
      </c>
      <c r="N567" s="213" t="s">
        <v>1898</v>
      </c>
      <c r="O567" s="212" t="s">
        <v>274</v>
      </c>
      <c r="P567" s="213" t="s">
        <v>649</v>
      </c>
      <c r="Q567" s="213" t="s">
        <v>276</v>
      </c>
    </row>
    <row r="568" spans="1:17" s="214" customFormat="1">
      <c r="A568" s="13">
        <v>568</v>
      </c>
      <c r="B568" s="212" t="s">
        <v>1899</v>
      </c>
      <c r="C568" s="212" t="s">
        <v>1900</v>
      </c>
      <c r="D568" s="212" t="s">
        <v>1901</v>
      </c>
      <c r="E568" s="212" t="s">
        <v>1902</v>
      </c>
      <c r="F568" s="222">
        <f t="shared" si="104"/>
        <v>12</v>
      </c>
      <c r="G568" s="223" t="str">
        <f t="shared" si="105"/>
        <v>3</v>
      </c>
      <c r="H568" s="224">
        <f t="shared" si="106"/>
        <v>3</v>
      </c>
      <c r="I568" s="223" t="str">
        <f t="shared" si="107"/>
        <v>04 min.</v>
      </c>
      <c r="J568" s="223" t="str">
        <f t="shared" si="108"/>
        <v>04</v>
      </c>
      <c r="K568" s="224">
        <f t="shared" si="109"/>
        <v>4</v>
      </c>
      <c r="L568" s="223" t="str">
        <f t="shared" si="110"/>
        <v>3:4</v>
      </c>
      <c r="M568" s="225">
        <f t="shared" si="111"/>
        <v>0.1277777777777778</v>
      </c>
      <c r="N568" s="213" t="s">
        <v>1903</v>
      </c>
      <c r="O568" s="212" t="s">
        <v>310</v>
      </c>
      <c r="P568" s="213" t="s">
        <v>649</v>
      </c>
      <c r="Q568" s="213" t="s">
        <v>276</v>
      </c>
    </row>
    <row r="569" spans="1:17" s="214" customFormat="1">
      <c r="A569" s="13">
        <v>569</v>
      </c>
      <c r="B569" s="212" t="s">
        <v>1904</v>
      </c>
      <c r="C569" s="212" t="s">
        <v>1905</v>
      </c>
      <c r="D569" s="212" t="s">
        <v>1906</v>
      </c>
      <c r="E569" s="212" t="s">
        <v>400</v>
      </c>
      <c r="F569" s="222">
        <f t="shared" si="104"/>
        <v>12</v>
      </c>
      <c r="G569" s="223" t="str">
        <f t="shared" si="105"/>
        <v>5</v>
      </c>
      <c r="H569" s="224">
        <f t="shared" si="106"/>
        <v>5</v>
      </c>
      <c r="I569" s="223" t="str">
        <f t="shared" si="107"/>
        <v>19 min.</v>
      </c>
      <c r="J569" s="223" t="str">
        <f t="shared" si="108"/>
        <v>19</v>
      </c>
      <c r="K569" s="224">
        <f t="shared" si="109"/>
        <v>19</v>
      </c>
      <c r="L569" s="223" t="str">
        <f t="shared" si="110"/>
        <v>5:19</v>
      </c>
      <c r="M569" s="225">
        <f t="shared" si="111"/>
        <v>0.22152777777777777</v>
      </c>
      <c r="N569" s="213" t="s">
        <v>1907</v>
      </c>
      <c r="O569" s="212" t="s">
        <v>303</v>
      </c>
      <c r="P569" s="213" t="s">
        <v>649</v>
      </c>
      <c r="Q569" s="213" t="s">
        <v>276</v>
      </c>
    </row>
    <row r="570" spans="1:17" s="214" customFormat="1">
      <c r="A570" s="13">
        <v>570</v>
      </c>
      <c r="B570" s="212" t="s">
        <v>1908</v>
      </c>
      <c r="C570" s="212" t="s">
        <v>1909</v>
      </c>
      <c r="D570" s="212" t="s">
        <v>1910</v>
      </c>
      <c r="E570" s="212" t="s">
        <v>1911</v>
      </c>
      <c r="F570" s="222">
        <f t="shared" si="104"/>
        <v>12</v>
      </c>
      <c r="G570" s="223" t="str">
        <f t="shared" si="105"/>
        <v>6</v>
      </c>
      <c r="H570" s="224">
        <f t="shared" si="106"/>
        <v>6</v>
      </c>
      <c r="I570" s="223" t="str">
        <f t="shared" si="107"/>
        <v>33 min.</v>
      </c>
      <c r="J570" s="223" t="str">
        <f t="shared" si="108"/>
        <v>33</v>
      </c>
      <c r="K570" s="224">
        <f t="shared" si="109"/>
        <v>33</v>
      </c>
      <c r="L570" s="223" t="str">
        <f t="shared" si="110"/>
        <v>6:33</v>
      </c>
      <c r="M570" s="225">
        <f t="shared" si="111"/>
        <v>0.27291666666666664</v>
      </c>
      <c r="N570" s="213" t="s">
        <v>1912</v>
      </c>
      <c r="O570" s="212" t="s">
        <v>371</v>
      </c>
      <c r="P570" s="213" t="s">
        <v>649</v>
      </c>
      <c r="Q570" s="213" t="s">
        <v>276</v>
      </c>
    </row>
    <row r="571" spans="1:17" s="214" customFormat="1">
      <c r="A571" s="13">
        <v>571</v>
      </c>
      <c r="B571" s="212" t="s">
        <v>1913</v>
      </c>
      <c r="C571" s="212" t="s">
        <v>1914</v>
      </c>
      <c r="D571" s="212" t="s">
        <v>1915</v>
      </c>
      <c r="E571" s="212" t="s">
        <v>1916</v>
      </c>
      <c r="F571" s="222">
        <f t="shared" si="104"/>
        <v>13</v>
      </c>
      <c r="G571" s="223" t="str">
        <f t="shared" si="105"/>
        <v>17</v>
      </c>
      <c r="H571" s="224">
        <f t="shared" si="106"/>
        <v>17</v>
      </c>
      <c r="I571" s="223" t="str">
        <f t="shared" si="107"/>
        <v>38 min.</v>
      </c>
      <c r="J571" s="223" t="str">
        <f t="shared" si="108"/>
        <v>38</v>
      </c>
      <c r="K571" s="224">
        <f t="shared" si="109"/>
        <v>38</v>
      </c>
      <c r="L571" s="223" t="str">
        <f t="shared" si="110"/>
        <v>17:38</v>
      </c>
      <c r="M571" s="225">
        <f t="shared" si="111"/>
        <v>0.73472222222222217</v>
      </c>
      <c r="N571" s="213" t="s">
        <v>1313</v>
      </c>
      <c r="O571" s="212" t="s">
        <v>371</v>
      </c>
      <c r="P571" s="213" t="s">
        <v>649</v>
      </c>
      <c r="Q571" s="213" t="s">
        <v>276</v>
      </c>
    </row>
    <row r="572" spans="1:17" s="214" customFormat="1">
      <c r="A572" s="13">
        <v>572</v>
      </c>
      <c r="B572" s="212" t="s">
        <v>1917</v>
      </c>
      <c r="C572" s="212" t="s">
        <v>1918</v>
      </c>
      <c r="D572" s="212" t="s">
        <v>1919</v>
      </c>
      <c r="E572" s="212" t="s">
        <v>1920</v>
      </c>
      <c r="F572" s="222">
        <f t="shared" si="104"/>
        <v>12</v>
      </c>
      <c r="G572" s="223" t="str">
        <f t="shared" si="105"/>
        <v>5</v>
      </c>
      <c r="H572" s="224">
        <f t="shared" si="106"/>
        <v>5</v>
      </c>
      <c r="I572" s="223" t="str">
        <f t="shared" si="107"/>
        <v>18 min.</v>
      </c>
      <c r="J572" s="223" t="str">
        <f t="shared" si="108"/>
        <v>18</v>
      </c>
      <c r="K572" s="224">
        <f t="shared" si="109"/>
        <v>18</v>
      </c>
      <c r="L572" s="223" t="str">
        <f t="shared" si="110"/>
        <v>5:18</v>
      </c>
      <c r="M572" s="225">
        <f t="shared" si="111"/>
        <v>0.22083333333333333</v>
      </c>
      <c r="N572" s="213" t="s">
        <v>1921</v>
      </c>
      <c r="O572" s="212" t="s">
        <v>496</v>
      </c>
      <c r="P572" s="213" t="s">
        <v>649</v>
      </c>
      <c r="Q572" s="213" t="s">
        <v>276</v>
      </c>
    </row>
    <row r="573" spans="1:17" s="214" customFormat="1">
      <c r="A573" s="13">
        <v>573</v>
      </c>
      <c r="B573" s="212" t="s">
        <v>1922</v>
      </c>
      <c r="C573" s="212" t="s">
        <v>1923</v>
      </c>
      <c r="D573" s="212" t="s">
        <v>1924</v>
      </c>
      <c r="E573" s="212" t="s">
        <v>1925</v>
      </c>
      <c r="F573" s="222">
        <f t="shared" si="104"/>
        <v>12</v>
      </c>
      <c r="G573" s="223" t="str">
        <f t="shared" si="105"/>
        <v>4</v>
      </c>
      <c r="H573" s="224">
        <f t="shared" si="106"/>
        <v>4</v>
      </c>
      <c r="I573" s="223" t="str">
        <f t="shared" si="107"/>
        <v>45 min.</v>
      </c>
      <c r="J573" s="223" t="str">
        <f t="shared" si="108"/>
        <v>45</v>
      </c>
      <c r="K573" s="224">
        <f t="shared" si="109"/>
        <v>45</v>
      </c>
      <c r="L573" s="223" t="str">
        <f t="shared" si="110"/>
        <v>4:45</v>
      </c>
      <c r="M573" s="225">
        <f t="shared" si="111"/>
        <v>0.19791666666666666</v>
      </c>
      <c r="N573" s="213" t="s">
        <v>1926</v>
      </c>
      <c r="O573" s="212" t="s">
        <v>303</v>
      </c>
      <c r="P573" s="213" t="s">
        <v>649</v>
      </c>
      <c r="Q573" s="213" t="s">
        <v>276</v>
      </c>
    </row>
    <row r="574" spans="1:17" s="214" customFormat="1">
      <c r="A574" s="13">
        <v>574</v>
      </c>
      <c r="B574" s="212" t="s">
        <v>1927</v>
      </c>
      <c r="C574" s="212" t="s">
        <v>1928</v>
      </c>
      <c r="D574" s="212" t="s">
        <v>1929</v>
      </c>
      <c r="E574" s="212" t="s">
        <v>1930</v>
      </c>
      <c r="F574" s="222">
        <f t="shared" si="104"/>
        <v>12</v>
      </c>
      <c r="G574" s="223" t="str">
        <f t="shared" si="105"/>
        <v>2</v>
      </c>
      <c r="H574" s="224">
        <f t="shared" si="106"/>
        <v>2</v>
      </c>
      <c r="I574" s="223" t="str">
        <f t="shared" si="107"/>
        <v>55 min.</v>
      </c>
      <c r="J574" s="223" t="str">
        <f t="shared" si="108"/>
        <v>55</v>
      </c>
      <c r="K574" s="224">
        <f t="shared" si="109"/>
        <v>55</v>
      </c>
      <c r="L574" s="223" t="str">
        <f t="shared" si="110"/>
        <v>2:55</v>
      </c>
      <c r="M574" s="225">
        <f t="shared" si="111"/>
        <v>0.12152777777777778</v>
      </c>
      <c r="N574" s="213" t="s">
        <v>692</v>
      </c>
      <c r="O574" s="212" t="s">
        <v>413</v>
      </c>
      <c r="P574" s="213" t="s">
        <v>649</v>
      </c>
      <c r="Q574" s="213" t="s">
        <v>276</v>
      </c>
    </row>
    <row r="575" spans="1:17" s="214" customFormat="1">
      <c r="A575" s="13">
        <v>575</v>
      </c>
      <c r="B575" s="212" t="s">
        <v>2358</v>
      </c>
      <c r="C575" s="212" t="s">
        <v>2359</v>
      </c>
      <c r="D575" s="212" t="s">
        <v>2360</v>
      </c>
      <c r="E575" s="212" t="s">
        <v>2361</v>
      </c>
      <c r="F575" s="222">
        <f t="shared" si="104"/>
        <v>13</v>
      </c>
      <c r="G575" s="223" t="str">
        <f t="shared" si="105"/>
        <v>20</v>
      </c>
      <c r="H575" s="224">
        <f t="shared" si="106"/>
        <v>20</v>
      </c>
      <c r="I575" s="223" t="str">
        <f t="shared" si="107"/>
        <v>13 min.</v>
      </c>
      <c r="J575" s="223" t="str">
        <f t="shared" si="108"/>
        <v>13</v>
      </c>
      <c r="K575" s="224">
        <f t="shared" si="109"/>
        <v>13</v>
      </c>
      <c r="L575" s="223" t="str">
        <f t="shared" si="110"/>
        <v>20:13</v>
      </c>
      <c r="M575" s="225">
        <f t="shared" si="111"/>
        <v>0.84236111111111101</v>
      </c>
      <c r="N575" s="213" t="s">
        <v>1413</v>
      </c>
      <c r="O575" s="212" t="s">
        <v>2257</v>
      </c>
      <c r="P575" s="213" t="s">
        <v>649</v>
      </c>
      <c r="Q575" s="213" t="s">
        <v>276</v>
      </c>
    </row>
    <row r="576" spans="1:17" s="214" customFormat="1">
      <c r="A576" s="13">
        <v>576</v>
      </c>
      <c r="B576" s="212" t="s">
        <v>2366</v>
      </c>
      <c r="C576" s="212" t="s">
        <v>2367</v>
      </c>
      <c r="D576" s="212" t="s">
        <v>2368</v>
      </c>
      <c r="E576" s="212" t="s">
        <v>1870</v>
      </c>
      <c r="F576" s="222">
        <f t="shared" si="104"/>
        <v>13</v>
      </c>
      <c r="G576" s="223" t="str">
        <f t="shared" si="105"/>
        <v>13</v>
      </c>
      <c r="H576" s="224">
        <f t="shared" si="106"/>
        <v>13</v>
      </c>
      <c r="I576" s="223" t="str">
        <f t="shared" si="107"/>
        <v>54 min.</v>
      </c>
      <c r="J576" s="223" t="str">
        <f t="shared" si="108"/>
        <v>54</v>
      </c>
      <c r="K576" s="224">
        <f t="shared" si="109"/>
        <v>54</v>
      </c>
      <c r="L576" s="223" t="str">
        <f t="shared" si="110"/>
        <v>13:54</v>
      </c>
      <c r="M576" s="225">
        <f t="shared" si="111"/>
        <v>0.57916666666666672</v>
      </c>
      <c r="N576" s="213" t="s">
        <v>2369</v>
      </c>
      <c r="O576" s="212" t="s">
        <v>2370</v>
      </c>
      <c r="P576" s="213" t="s">
        <v>649</v>
      </c>
      <c r="Q576" s="213" t="s">
        <v>276</v>
      </c>
    </row>
    <row r="577" spans="1:17" s="214" customFormat="1">
      <c r="A577" s="13">
        <v>577</v>
      </c>
      <c r="B577" s="212" t="s">
        <v>2371</v>
      </c>
      <c r="C577" s="212" t="s">
        <v>2372</v>
      </c>
      <c r="D577" s="212" t="s">
        <v>2373</v>
      </c>
      <c r="E577" s="212" t="s">
        <v>1742</v>
      </c>
      <c r="F577" s="222">
        <f t="shared" si="104"/>
        <v>12</v>
      </c>
      <c r="G577" s="223" t="str">
        <f t="shared" si="105"/>
        <v>6</v>
      </c>
      <c r="H577" s="224">
        <f t="shared" si="106"/>
        <v>6</v>
      </c>
      <c r="I577" s="223" t="str">
        <f t="shared" si="107"/>
        <v>03 min.</v>
      </c>
      <c r="J577" s="223" t="str">
        <f t="shared" si="108"/>
        <v>03</v>
      </c>
      <c r="K577" s="224">
        <f t="shared" si="109"/>
        <v>3</v>
      </c>
      <c r="L577" s="223" t="str">
        <f t="shared" si="110"/>
        <v>6:3</v>
      </c>
      <c r="M577" s="225">
        <f t="shared" si="111"/>
        <v>0.25208333333333333</v>
      </c>
      <c r="N577" s="213" t="s">
        <v>2374</v>
      </c>
      <c r="O577" s="212" t="s">
        <v>693</v>
      </c>
      <c r="P577" s="213" t="s">
        <v>649</v>
      </c>
      <c r="Q577" s="213" t="s">
        <v>276</v>
      </c>
    </row>
    <row r="578" spans="1:17" s="214" customFormat="1">
      <c r="A578" s="13">
        <v>578</v>
      </c>
      <c r="B578" s="212" t="s">
        <v>2375</v>
      </c>
      <c r="C578" s="212" t="s">
        <v>2376</v>
      </c>
      <c r="D578" s="212" t="s">
        <v>2377</v>
      </c>
      <c r="E578" s="212" t="s">
        <v>2328</v>
      </c>
      <c r="F578" s="222">
        <f t="shared" si="104"/>
        <v>13</v>
      </c>
      <c r="G578" s="223" t="str">
        <f t="shared" si="105"/>
        <v>10</v>
      </c>
      <c r="H578" s="224">
        <f t="shared" si="106"/>
        <v>10</v>
      </c>
      <c r="I578" s="223" t="str">
        <f t="shared" si="107"/>
        <v>32 min.</v>
      </c>
      <c r="J578" s="223" t="str">
        <f t="shared" si="108"/>
        <v>32</v>
      </c>
      <c r="K578" s="224">
        <f t="shared" si="109"/>
        <v>32</v>
      </c>
      <c r="L578" s="223" t="str">
        <f t="shared" si="110"/>
        <v>10:32</v>
      </c>
      <c r="M578" s="225">
        <f t="shared" si="111"/>
        <v>0.43888888888888888</v>
      </c>
      <c r="N578" s="213" t="s">
        <v>2369</v>
      </c>
      <c r="O578" s="212" t="s">
        <v>2257</v>
      </c>
      <c r="P578" s="213" t="s">
        <v>649</v>
      </c>
      <c r="Q578" s="213" t="s">
        <v>276</v>
      </c>
    </row>
    <row r="579" spans="1:17" s="214" customFormat="1">
      <c r="A579" s="13">
        <v>579</v>
      </c>
      <c r="B579" s="212" t="s">
        <v>2378</v>
      </c>
      <c r="C579" s="212" t="s">
        <v>2379</v>
      </c>
      <c r="D579" s="212" t="s">
        <v>2380</v>
      </c>
      <c r="E579" s="212" t="s">
        <v>1456</v>
      </c>
      <c r="F579" s="222">
        <f t="shared" si="104"/>
        <v>12</v>
      </c>
      <c r="G579" s="223" t="str">
        <f t="shared" si="105"/>
        <v>7</v>
      </c>
      <c r="H579" s="224">
        <f t="shared" si="106"/>
        <v>7</v>
      </c>
      <c r="I579" s="223" t="str">
        <f t="shared" si="107"/>
        <v>05 min.</v>
      </c>
      <c r="J579" s="223" t="str">
        <f t="shared" si="108"/>
        <v>05</v>
      </c>
      <c r="K579" s="224">
        <f t="shared" si="109"/>
        <v>5</v>
      </c>
      <c r="L579" s="223" t="str">
        <f t="shared" si="110"/>
        <v>7:5</v>
      </c>
      <c r="M579" s="225">
        <f t="shared" si="111"/>
        <v>0.2951388888888889</v>
      </c>
      <c r="N579" s="213" t="s">
        <v>686</v>
      </c>
      <c r="O579" s="212" t="s">
        <v>310</v>
      </c>
      <c r="P579" s="213" t="s">
        <v>649</v>
      </c>
      <c r="Q579" s="213" t="s">
        <v>276</v>
      </c>
    </row>
    <row r="580" spans="1:17" s="214" customFormat="1">
      <c r="A580" s="13">
        <v>580</v>
      </c>
      <c r="B580" s="212" t="s">
        <v>2381</v>
      </c>
      <c r="C580" s="212" t="s">
        <v>2382</v>
      </c>
      <c r="D580" s="212" t="s">
        <v>2383</v>
      </c>
      <c r="E580" s="212" t="s">
        <v>2384</v>
      </c>
      <c r="F580" s="222">
        <f t="shared" si="104"/>
        <v>12</v>
      </c>
      <c r="G580" s="223" t="str">
        <f t="shared" si="105"/>
        <v>7</v>
      </c>
      <c r="H580" s="224">
        <f t="shared" si="106"/>
        <v>7</v>
      </c>
      <c r="I580" s="223" t="str">
        <f t="shared" si="107"/>
        <v>42 min.</v>
      </c>
      <c r="J580" s="223" t="str">
        <f t="shared" si="108"/>
        <v>42</v>
      </c>
      <c r="K580" s="224">
        <f t="shared" si="109"/>
        <v>42</v>
      </c>
      <c r="L580" s="223" t="str">
        <f t="shared" si="110"/>
        <v>7:42</v>
      </c>
      <c r="M580" s="225">
        <f t="shared" si="111"/>
        <v>0.32083333333333336</v>
      </c>
      <c r="N580" s="213" t="s">
        <v>2385</v>
      </c>
      <c r="O580" s="212" t="s">
        <v>303</v>
      </c>
      <c r="P580" s="213" t="s">
        <v>649</v>
      </c>
      <c r="Q580" s="213" t="s">
        <v>276</v>
      </c>
    </row>
    <row r="581" spans="1:17" s="214" customFormat="1">
      <c r="A581" s="13">
        <v>581</v>
      </c>
      <c r="B581" s="212" t="s">
        <v>2477</v>
      </c>
      <c r="C581" s="212" t="s">
        <v>2303</v>
      </c>
      <c r="D581" s="212" t="s">
        <v>2478</v>
      </c>
      <c r="E581" s="212" t="s">
        <v>913</v>
      </c>
      <c r="F581" s="222">
        <f t="shared" si="104"/>
        <v>12</v>
      </c>
      <c r="G581" s="223" t="str">
        <f t="shared" si="105"/>
        <v>1</v>
      </c>
      <c r="H581" s="224">
        <f t="shared" si="106"/>
        <v>1</v>
      </c>
      <c r="I581" s="223" t="str">
        <f t="shared" si="107"/>
        <v>49 min.</v>
      </c>
      <c r="J581" s="223" t="str">
        <f t="shared" si="108"/>
        <v>49</v>
      </c>
      <c r="K581" s="224">
        <f t="shared" si="109"/>
        <v>49</v>
      </c>
      <c r="L581" s="223" t="str">
        <f t="shared" si="110"/>
        <v>1:49</v>
      </c>
      <c r="M581" s="225">
        <f t="shared" si="111"/>
        <v>7.5694444444444439E-2</v>
      </c>
      <c r="N581" s="213" t="s">
        <v>2479</v>
      </c>
      <c r="O581" s="212" t="s">
        <v>1663</v>
      </c>
      <c r="P581" s="213" t="s">
        <v>649</v>
      </c>
      <c r="Q581" s="213" t="s">
        <v>276</v>
      </c>
    </row>
    <row r="582" spans="1:17" s="214" customFormat="1">
      <c r="A582" s="13">
        <v>582</v>
      </c>
      <c r="B582" s="212" t="s">
        <v>2480</v>
      </c>
      <c r="C582" s="212" t="s">
        <v>2481</v>
      </c>
      <c r="D582" s="212" t="s">
        <v>2482</v>
      </c>
      <c r="E582" s="212" t="s">
        <v>2483</v>
      </c>
      <c r="F582" s="222">
        <f t="shared" si="104"/>
        <v>12</v>
      </c>
      <c r="G582" s="223" t="str">
        <f t="shared" si="105"/>
        <v>3</v>
      </c>
      <c r="H582" s="224">
        <f t="shared" si="106"/>
        <v>3</v>
      </c>
      <c r="I582" s="223" t="str">
        <f t="shared" si="107"/>
        <v>34 min.</v>
      </c>
      <c r="J582" s="223" t="str">
        <f t="shared" si="108"/>
        <v>34</v>
      </c>
      <c r="K582" s="224">
        <f t="shared" si="109"/>
        <v>34</v>
      </c>
      <c r="L582" s="223" t="str">
        <f t="shared" si="110"/>
        <v>3:34</v>
      </c>
      <c r="M582" s="225">
        <f t="shared" si="111"/>
        <v>0.14861111111111111</v>
      </c>
      <c r="N582" s="213" t="s">
        <v>2484</v>
      </c>
      <c r="O582" s="212" t="s">
        <v>464</v>
      </c>
      <c r="P582" s="213" t="s">
        <v>649</v>
      </c>
      <c r="Q582" s="213" t="s">
        <v>276</v>
      </c>
    </row>
    <row r="583" spans="1:17" s="214" customFormat="1">
      <c r="A583" s="13">
        <v>583</v>
      </c>
      <c r="B583" s="212" t="s">
        <v>2485</v>
      </c>
      <c r="C583" s="212" t="s">
        <v>1434</v>
      </c>
      <c r="D583" s="212" t="s">
        <v>2486</v>
      </c>
      <c r="E583" s="212" t="s">
        <v>2487</v>
      </c>
      <c r="F583" s="222">
        <f t="shared" si="104"/>
        <v>12</v>
      </c>
      <c r="G583" s="223" t="str">
        <f t="shared" si="105"/>
        <v>4</v>
      </c>
      <c r="H583" s="224">
        <f t="shared" si="106"/>
        <v>4</v>
      </c>
      <c r="I583" s="223" t="str">
        <f t="shared" si="107"/>
        <v>31 min.</v>
      </c>
      <c r="J583" s="223" t="str">
        <f t="shared" si="108"/>
        <v>31</v>
      </c>
      <c r="K583" s="224">
        <f t="shared" si="109"/>
        <v>31</v>
      </c>
      <c r="L583" s="223" t="str">
        <f t="shared" si="110"/>
        <v>4:31</v>
      </c>
      <c r="M583" s="225">
        <f t="shared" si="111"/>
        <v>0.18819444444444444</v>
      </c>
      <c r="N583" s="213" t="s">
        <v>2488</v>
      </c>
      <c r="O583" s="212" t="s">
        <v>286</v>
      </c>
      <c r="P583" s="213" t="s">
        <v>649</v>
      </c>
      <c r="Q583" s="213" t="s">
        <v>276</v>
      </c>
    </row>
    <row r="584" spans="1:17" s="214" customFormat="1">
      <c r="A584" s="13">
        <v>584</v>
      </c>
      <c r="B584" s="212" t="s">
        <v>2489</v>
      </c>
      <c r="C584" s="212" t="s">
        <v>1434</v>
      </c>
      <c r="D584" s="212" t="s">
        <v>2490</v>
      </c>
      <c r="E584" s="212" t="s">
        <v>2491</v>
      </c>
      <c r="F584" s="222">
        <f t="shared" si="104"/>
        <v>13</v>
      </c>
      <c r="G584" s="223" t="str">
        <f t="shared" si="105"/>
        <v>14</v>
      </c>
      <c r="H584" s="224">
        <f t="shared" si="106"/>
        <v>14</v>
      </c>
      <c r="I584" s="223" t="str">
        <f t="shared" si="107"/>
        <v>29 min.</v>
      </c>
      <c r="J584" s="223" t="str">
        <f t="shared" si="108"/>
        <v>29</v>
      </c>
      <c r="K584" s="224">
        <f t="shared" si="109"/>
        <v>29</v>
      </c>
      <c r="L584" s="223" t="str">
        <f t="shared" si="110"/>
        <v>14:29</v>
      </c>
      <c r="M584" s="225">
        <f t="shared" si="111"/>
        <v>0.60347222222222219</v>
      </c>
      <c r="N584" s="213" t="s">
        <v>654</v>
      </c>
      <c r="O584" s="212" t="s">
        <v>286</v>
      </c>
      <c r="P584" s="213" t="s">
        <v>649</v>
      </c>
      <c r="Q584" s="213" t="s">
        <v>276</v>
      </c>
    </row>
    <row r="585" spans="1:17" s="214" customFormat="1">
      <c r="A585" s="13">
        <v>585</v>
      </c>
      <c r="B585" s="212" t="s">
        <v>2492</v>
      </c>
      <c r="C585" s="212" t="s">
        <v>1434</v>
      </c>
      <c r="D585" s="212" t="s">
        <v>2493</v>
      </c>
      <c r="E585" s="212" t="s">
        <v>2494</v>
      </c>
      <c r="F585" s="222">
        <f t="shared" si="104"/>
        <v>12</v>
      </c>
      <c r="G585" s="223" t="str">
        <f t="shared" si="105"/>
        <v>5</v>
      </c>
      <c r="H585" s="224">
        <f t="shared" si="106"/>
        <v>5</v>
      </c>
      <c r="I585" s="223" t="str">
        <f t="shared" si="107"/>
        <v>40 min.</v>
      </c>
      <c r="J585" s="223" t="str">
        <f t="shared" si="108"/>
        <v>40</v>
      </c>
      <c r="K585" s="224">
        <f t="shared" si="109"/>
        <v>40</v>
      </c>
      <c r="L585" s="223" t="str">
        <f t="shared" si="110"/>
        <v>5:40</v>
      </c>
      <c r="M585" s="225">
        <f t="shared" si="111"/>
        <v>0.23611111111111113</v>
      </c>
      <c r="N585" s="213" t="s">
        <v>2495</v>
      </c>
      <c r="O585" s="212" t="s">
        <v>303</v>
      </c>
      <c r="P585" s="213" t="s">
        <v>649</v>
      </c>
      <c r="Q585" s="213" t="s">
        <v>276</v>
      </c>
    </row>
    <row r="586" spans="1:17" s="214" customFormat="1">
      <c r="A586" s="13">
        <v>586</v>
      </c>
      <c r="B586" s="212" t="s">
        <v>2496</v>
      </c>
      <c r="C586" s="212" t="s">
        <v>2497</v>
      </c>
      <c r="D586" s="212" t="s">
        <v>2498</v>
      </c>
      <c r="E586" s="212" t="s">
        <v>2499</v>
      </c>
      <c r="F586" s="222">
        <f t="shared" si="104"/>
        <v>12</v>
      </c>
      <c r="G586" s="223" t="str">
        <f t="shared" si="105"/>
        <v>3</v>
      </c>
      <c r="H586" s="224">
        <f t="shared" si="106"/>
        <v>3</v>
      </c>
      <c r="I586" s="223" t="str">
        <f t="shared" si="107"/>
        <v>20 min.</v>
      </c>
      <c r="J586" s="223" t="str">
        <f t="shared" si="108"/>
        <v>20</v>
      </c>
      <c r="K586" s="224">
        <f t="shared" si="109"/>
        <v>20</v>
      </c>
      <c r="L586" s="223" t="str">
        <f t="shared" si="110"/>
        <v>3:20</v>
      </c>
      <c r="M586" s="225">
        <f t="shared" si="111"/>
        <v>0.1388888888888889</v>
      </c>
      <c r="N586" s="213" t="s">
        <v>2500</v>
      </c>
      <c r="O586" s="212" t="s">
        <v>292</v>
      </c>
      <c r="P586" s="213" t="s">
        <v>649</v>
      </c>
      <c r="Q586" s="213" t="s">
        <v>276</v>
      </c>
    </row>
    <row r="587" spans="1:17" s="13" customFormat="1">
      <c r="A587" s="13">
        <v>587</v>
      </c>
      <c r="B587" s="226">
        <f>COUNTA(B541:B586)</f>
        <v>46</v>
      </c>
      <c r="C587" s="165"/>
      <c r="D587" s="165"/>
      <c r="E587" s="165"/>
      <c r="F587" s="222"/>
      <c r="G587" s="223"/>
      <c r="H587" s="224"/>
      <c r="I587" s="223"/>
      <c r="J587" s="223"/>
      <c r="K587" s="224"/>
      <c r="L587" s="223"/>
      <c r="M587" s="229">
        <f>SUM(M541:M586)</f>
        <v>17.647916666666671</v>
      </c>
      <c r="N587" s="167"/>
      <c r="O587" s="165"/>
      <c r="P587" s="167"/>
      <c r="Q587" s="167"/>
    </row>
    <row r="588" spans="1:17" s="13" customFormat="1">
      <c r="A588" s="13">
        <v>588</v>
      </c>
      <c r="B588" s="227">
        <v>46</v>
      </c>
      <c r="C588" s="165"/>
      <c r="D588" s="165"/>
      <c r="E588" s="165"/>
      <c r="F588" s="222"/>
      <c r="G588" s="223"/>
      <c r="H588" s="224"/>
      <c r="I588" s="223"/>
      <c r="J588" s="223"/>
      <c r="K588" s="224"/>
      <c r="L588" s="223"/>
      <c r="M588" s="228">
        <v>17.647916666666667</v>
      </c>
      <c r="N588" s="171" t="s">
        <v>173</v>
      </c>
      <c r="O588" s="165"/>
      <c r="P588" s="167"/>
      <c r="Q588" s="167"/>
    </row>
    <row r="589" spans="1:17" s="13" customFormat="1">
      <c r="A589" s="13">
        <v>589</v>
      </c>
      <c r="B589" s="227">
        <v>46</v>
      </c>
      <c r="C589" s="230" t="s">
        <v>2606</v>
      </c>
      <c r="D589" s="165"/>
      <c r="E589" s="165"/>
      <c r="F589" s="222"/>
      <c r="G589" s="223"/>
      <c r="H589" s="224"/>
      <c r="I589" s="223"/>
      <c r="J589" s="223"/>
      <c r="K589" s="224"/>
      <c r="L589" s="223"/>
      <c r="M589" s="228">
        <v>17.647916666666667</v>
      </c>
      <c r="N589" s="230" t="s">
        <v>2606</v>
      </c>
      <c r="O589" s="165"/>
      <c r="P589" s="167"/>
      <c r="Q589" s="167"/>
    </row>
    <row r="590" spans="1:17" s="13" customFormat="1">
      <c r="A590" s="13">
        <v>590</v>
      </c>
      <c r="B590" s="165"/>
      <c r="C590" s="165"/>
      <c r="D590" s="165"/>
      <c r="E590" s="165"/>
      <c r="F590" s="222"/>
      <c r="G590" s="223"/>
      <c r="H590" s="224"/>
      <c r="I590" s="223"/>
      <c r="J590" s="223"/>
      <c r="K590" s="224"/>
      <c r="L590" s="223"/>
      <c r="M590" s="225"/>
      <c r="N590" s="167"/>
      <c r="O590" s="165"/>
      <c r="P590" s="167"/>
      <c r="Q590" s="167"/>
    </row>
    <row r="591" spans="1:17" s="13" customFormat="1">
      <c r="A591" s="13">
        <v>591</v>
      </c>
      <c r="B591" s="165"/>
      <c r="C591" s="165"/>
      <c r="D591" s="165"/>
      <c r="E591" s="165"/>
      <c r="F591" s="222"/>
      <c r="G591" s="223"/>
      <c r="H591" s="224"/>
      <c r="I591" s="223"/>
      <c r="J591" s="223"/>
      <c r="K591" s="224"/>
      <c r="L591" s="223"/>
      <c r="M591" s="225"/>
      <c r="N591" s="167"/>
      <c r="O591" s="165"/>
      <c r="P591" s="167"/>
      <c r="Q591" s="167"/>
    </row>
    <row r="592" spans="1:17" s="217" customFormat="1">
      <c r="A592" s="13">
        <v>592</v>
      </c>
      <c r="B592" s="215" t="s">
        <v>671</v>
      </c>
      <c r="C592" s="215" t="s">
        <v>672</v>
      </c>
      <c r="D592" s="215" t="s">
        <v>673</v>
      </c>
      <c r="E592" s="215" t="s">
        <v>674</v>
      </c>
      <c r="F592" s="222">
        <f t="shared" ref="F592:F598" si="112">LEN(E592)</f>
        <v>12</v>
      </c>
      <c r="G592" s="223" t="str">
        <f t="shared" ref="G592:G598" si="113">IF(F592=12,LEFT(E592,1),LEFT(E592,2))</f>
        <v>4</v>
      </c>
      <c r="H592" s="224">
        <f t="shared" ref="H592:H598" si="114">VALUE(G592)</f>
        <v>4</v>
      </c>
      <c r="I592" s="223" t="str">
        <f t="shared" ref="I592:I598" si="115">RIGHT(E592,7)</f>
        <v>27 min.</v>
      </c>
      <c r="J592" s="223" t="str">
        <f t="shared" ref="J592:J598" si="116">LEFT(I592,2)</f>
        <v>27</v>
      </c>
      <c r="K592" s="224">
        <f t="shared" ref="K592:K598" si="117">VALUE(J592)</f>
        <v>27</v>
      </c>
      <c r="L592" s="223" t="str">
        <f t="shared" ref="L592:L598" si="118">H592&amp;":"&amp;K592</f>
        <v>4:27</v>
      </c>
      <c r="M592" s="225">
        <f t="shared" ref="M592:M598" si="119">VALUE(L592)</f>
        <v>0.18541666666666667</v>
      </c>
      <c r="N592" s="216" t="s">
        <v>675</v>
      </c>
      <c r="O592" s="215" t="s">
        <v>303</v>
      </c>
      <c r="P592" s="216" t="s">
        <v>676</v>
      </c>
      <c r="Q592" s="216" t="s">
        <v>676</v>
      </c>
    </row>
    <row r="593" spans="1:17" s="217" customFormat="1">
      <c r="A593" s="13">
        <v>593</v>
      </c>
      <c r="B593" s="215" t="s">
        <v>708</v>
      </c>
      <c r="C593" s="215" t="s">
        <v>709</v>
      </c>
      <c r="D593" s="215" t="s">
        <v>710</v>
      </c>
      <c r="E593" s="215" t="s">
        <v>711</v>
      </c>
      <c r="F593" s="222">
        <f t="shared" si="112"/>
        <v>12</v>
      </c>
      <c r="G593" s="223" t="str">
        <f t="shared" si="113"/>
        <v>4</v>
      </c>
      <c r="H593" s="224">
        <f t="shared" si="114"/>
        <v>4</v>
      </c>
      <c r="I593" s="223" t="str">
        <f t="shared" si="115"/>
        <v>08 min.</v>
      </c>
      <c r="J593" s="223" t="str">
        <f t="shared" si="116"/>
        <v>08</v>
      </c>
      <c r="K593" s="224">
        <f t="shared" si="117"/>
        <v>8</v>
      </c>
      <c r="L593" s="223" t="str">
        <f t="shared" si="118"/>
        <v>4:8</v>
      </c>
      <c r="M593" s="225">
        <f t="shared" si="119"/>
        <v>0.17222222222222225</v>
      </c>
      <c r="N593" s="216" t="s">
        <v>712</v>
      </c>
      <c r="O593" s="215" t="s">
        <v>303</v>
      </c>
      <c r="P593" s="216" t="s">
        <v>676</v>
      </c>
      <c r="Q593" s="216" t="s">
        <v>676</v>
      </c>
    </row>
    <row r="594" spans="1:17" s="217" customFormat="1">
      <c r="A594" s="13">
        <v>594</v>
      </c>
      <c r="B594" s="215" t="s">
        <v>718</v>
      </c>
      <c r="C594" s="215" t="s">
        <v>719</v>
      </c>
      <c r="D594" s="215" t="s">
        <v>720</v>
      </c>
      <c r="E594" s="215" t="s">
        <v>721</v>
      </c>
      <c r="F594" s="222">
        <f t="shared" si="112"/>
        <v>13</v>
      </c>
      <c r="G594" s="223" t="str">
        <f t="shared" si="113"/>
        <v>47</v>
      </c>
      <c r="H594" s="224">
        <f t="shared" si="114"/>
        <v>47</v>
      </c>
      <c r="I594" s="223" t="str">
        <f t="shared" si="115"/>
        <v>05 min.</v>
      </c>
      <c r="J594" s="223" t="str">
        <f t="shared" si="116"/>
        <v>05</v>
      </c>
      <c r="K594" s="224">
        <f t="shared" si="117"/>
        <v>5</v>
      </c>
      <c r="L594" s="223" t="str">
        <f t="shared" si="118"/>
        <v>47:5</v>
      </c>
      <c r="M594" s="225">
        <f t="shared" si="119"/>
        <v>1.9618055555555556</v>
      </c>
      <c r="N594" s="216" t="s">
        <v>722</v>
      </c>
      <c r="O594" s="215" t="s">
        <v>303</v>
      </c>
      <c r="P594" s="216" t="s">
        <v>676</v>
      </c>
      <c r="Q594" s="216" t="s">
        <v>676</v>
      </c>
    </row>
    <row r="595" spans="1:17" s="217" customFormat="1">
      <c r="A595" s="13">
        <v>595</v>
      </c>
      <c r="B595" s="215" t="s">
        <v>1283</v>
      </c>
      <c r="C595" s="215" t="s">
        <v>1284</v>
      </c>
      <c r="D595" s="215" t="s">
        <v>1285</v>
      </c>
      <c r="E595" s="215" t="s">
        <v>1286</v>
      </c>
      <c r="F595" s="222">
        <f t="shared" si="112"/>
        <v>12</v>
      </c>
      <c r="G595" s="223" t="str">
        <f t="shared" si="113"/>
        <v>7</v>
      </c>
      <c r="H595" s="224">
        <f t="shared" si="114"/>
        <v>7</v>
      </c>
      <c r="I595" s="223" t="str">
        <f t="shared" si="115"/>
        <v>10 min.</v>
      </c>
      <c r="J595" s="223" t="str">
        <f t="shared" si="116"/>
        <v>10</v>
      </c>
      <c r="K595" s="224">
        <f t="shared" si="117"/>
        <v>10</v>
      </c>
      <c r="L595" s="223" t="str">
        <f t="shared" si="118"/>
        <v>7:10</v>
      </c>
      <c r="M595" s="225">
        <f t="shared" si="119"/>
        <v>0.2986111111111111</v>
      </c>
      <c r="N595" s="216" t="s">
        <v>1287</v>
      </c>
      <c r="O595" s="215" t="s">
        <v>1288</v>
      </c>
      <c r="P595" s="216" t="s">
        <v>676</v>
      </c>
      <c r="Q595" s="216" t="s">
        <v>676</v>
      </c>
    </row>
    <row r="596" spans="1:17" s="217" customFormat="1">
      <c r="A596" s="13">
        <v>596</v>
      </c>
      <c r="B596" s="215" t="s">
        <v>1289</v>
      </c>
      <c r="C596" s="215" t="s">
        <v>1290</v>
      </c>
      <c r="D596" s="215" t="s">
        <v>1291</v>
      </c>
      <c r="E596" s="215" t="s">
        <v>1292</v>
      </c>
      <c r="F596" s="222">
        <f t="shared" si="112"/>
        <v>13</v>
      </c>
      <c r="G596" s="223" t="str">
        <f t="shared" si="113"/>
        <v>20</v>
      </c>
      <c r="H596" s="224">
        <f t="shared" si="114"/>
        <v>20</v>
      </c>
      <c r="I596" s="223" t="str">
        <f t="shared" si="115"/>
        <v>37 min.</v>
      </c>
      <c r="J596" s="223" t="str">
        <f t="shared" si="116"/>
        <v>37</v>
      </c>
      <c r="K596" s="224">
        <f t="shared" si="117"/>
        <v>37</v>
      </c>
      <c r="L596" s="223" t="str">
        <f t="shared" si="118"/>
        <v>20:37</v>
      </c>
      <c r="M596" s="225">
        <f t="shared" si="119"/>
        <v>0.85902777777777783</v>
      </c>
      <c r="N596" s="216" t="s">
        <v>1293</v>
      </c>
      <c r="O596" s="215" t="s">
        <v>303</v>
      </c>
      <c r="P596" s="216" t="s">
        <v>676</v>
      </c>
      <c r="Q596" s="216" t="s">
        <v>676</v>
      </c>
    </row>
    <row r="597" spans="1:17" s="217" customFormat="1">
      <c r="A597" s="13">
        <v>597</v>
      </c>
      <c r="B597" s="215" t="s">
        <v>2343</v>
      </c>
      <c r="C597" s="215" t="s">
        <v>792</v>
      </c>
      <c r="D597" s="215" t="s">
        <v>2344</v>
      </c>
      <c r="E597" s="215" t="s">
        <v>2345</v>
      </c>
      <c r="F597" s="222">
        <f t="shared" si="112"/>
        <v>13</v>
      </c>
      <c r="G597" s="223" t="str">
        <f t="shared" si="113"/>
        <v>14</v>
      </c>
      <c r="H597" s="224">
        <f t="shared" si="114"/>
        <v>14</v>
      </c>
      <c r="I597" s="223" t="str">
        <f t="shared" si="115"/>
        <v>02 min.</v>
      </c>
      <c r="J597" s="223" t="str">
        <f t="shared" si="116"/>
        <v>02</v>
      </c>
      <c r="K597" s="224">
        <f t="shared" si="117"/>
        <v>2</v>
      </c>
      <c r="L597" s="223" t="str">
        <f t="shared" si="118"/>
        <v>14:2</v>
      </c>
      <c r="M597" s="225">
        <f t="shared" si="119"/>
        <v>0.58472222222222225</v>
      </c>
      <c r="N597" s="216" t="s">
        <v>712</v>
      </c>
      <c r="O597" s="215" t="s">
        <v>303</v>
      </c>
      <c r="P597" s="216" t="s">
        <v>676</v>
      </c>
      <c r="Q597" s="216" t="s">
        <v>676</v>
      </c>
    </row>
    <row r="598" spans="1:17" s="217" customFormat="1">
      <c r="A598" s="13">
        <v>598</v>
      </c>
      <c r="B598" s="215" t="s">
        <v>2346</v>
      </c>
      <c r="C598" s="215" t="s">
        <v>2347</v>
      </c>
      <c r="D598" s="215" t="s">
        <v>2348</v>
      </c>
      <c r="E598" s="215" t="s">
        <v>2584</v>
      </c>
      <c r="F598" s="222">
        <f t="shared" si="112"/>
        <v>13</v>
      </c>
      <c r="G598" s="223" t="str">
        <f t="shared" si="113"/>
        <v>15</v>
      </c>
      <c r="H598" s="224">
        <f t="shared" si="114"/>
        <v>15</v>
      </c>
      <c r="I598" s="223" t="str">
        <f t="shared" si="115"/>
        <v>00 min.</v>
      </c>
      <c r="J598" s="223" t="str">
        <f t="shared" si="116"/>
        <v>00</v>
      </c>
      <c r="K598" s="224">
        <f t="shared" si="117"/>
        <v>0</v>
      </c>
      <c r="L598" s="223" t="str">
        <f t="shared" si="118"/>
        <v>15:0</v>
      </c>
      <c r="M598" s="225">
        <f t="shared" si="119"/>
        <v>0.625</v>
      </c>
      <c r="N598" s="216" t="s">
        <v>2349</v>
      </c>
      <c r="O598" s="215" t="s">
        <v>303</v>
      </c>
      <c r="P598" s="216" t="s">
        <v>676</v>
      </c>
      <c r="Q598" s="216" t="s">
        <v>676</v>
      </c>
    </row>
    <row r="599" spans="1:17">
      <c r="A599" s="13">
        <v>599</v>
      </c>
      <c r="B599" s="226">
        <f>COUNTA(B592:B598)</f>
        <v>7</v>
      </c>
      <c r="C599" s="165"/>
      <c r="M599" s="229">
        <f>SUM(M592:M598)</f>
        <v>4.6868055555555559</v>
      </c>
      <c r="N599" s="167"/>
    </row>
    <row r="600" spans="1:17">
      <c r="A600" s="13">
        <v>600</v>
      </c>
      <c r="B600" s="227">
        <v>7</v>
      </c>
      <c r="C600" s="165"/>
      <c r="M600" s="228">
        <v>4.6868055555555559</v>
      </c>
      <c r="N600" s="171" t="s">
        <v>173</v>
      </c>
    </row>
    <row r="601" spans="1:17">
      <c r="A601" s="13">
        <v>601</v>
      </c>
      <c r="B601" s="227">
        <v>7</v>
      </c>
      <c r="C601" s="230" t="s">
        <v>2606</v>
      </c>
      <c r="M601" s="228">
        <v>4.6868055555555559</v>
      </c>
      <c r="N601" s="230" t="s">
        <v>2606</v>
      </c>
    </row>
    <row r="602" spans="1:17">
      <c r="A602" s="13">
        <v>602</v>
      </c>
    </row>
    <row r="603" spans="1:17">
      <c r="A603" s="13">
        <v>603</v>
      </c>
    </row>
    <row r="604" spans="1:17" ht="15.75">
      <c r="A604" s="13">
        <v>604</v>
      </c>
      <c r="B604" s="236">
        <f>B599+B587+B531+B494+B484</f>
        <v>172</v>
      </c>
      <c r="C604" s="235" t="s">
        <v>2614</v>
      </c>
      <c r="D604" s="235"/>
      <c r="M604" s="229">
        <f>M599+M587+M531+M494+M484</f>
        <v>68.809722222222206</v>
      </c>
      <c r="N604" s="235" t="s">
        <v>2614</v>
      </c>
    </row>
    <row r="605" spans="1:17">
      <c r="A605" s="13">
        <v>605</v>
      </c>
      <c r="B605" s="75">
        <v>172</v>
      </c>
      <c r="C605" s="230" t="s">
        <v>2615</v>
      </c>
      <c r="M605" s="237">
        <f>M601+M589+M533+M496+M486</f>
        <v>68.80972222222222</v>
      </c>
      <c r="N605" s="230" t="s">
        <v>2615</v>
      </c>
    </row>
    <row r="606" spans="1:17">
      <c r="A606" s="13">
        <v>606</v>
      </c>
    </row>
    <row r="607" spans="1:17">
      <c r="A607" s="13">
        <v>607</v>
      </c>
    </row>
    <row r="608" spans="1:17" s="240" customFormat="1">
      <c r="A608" s="238">
        <v>608</v>
      </c>
      <c r="B608" s="242">
        <f>B599+B587+B531+B494+B484+B388+B259+B42</f>
        <v>537</v>
      </c>
      <c r="C608" s="239" t="s">
        <v>2616</v>
      </c>
      <c r="M608" s="241">
        <f>M599+M587+M531+M494+M484+M388+M259+M42</f>
        <v>178.71597222222218</v>
      </c>
      <c r="N608" s="239" t="s">
        <v>2616</v>
      </c>
    </row>
    <row r="609" spans="1:14" ht="15.75">
      <c r="A609" s="13">
        <v>609</v>
      </c>
      <c r="B609" s="244">
        <f>B604+B392+B263</f>
        <v>537</v>
      </c>
      <c r="C609" s="243" t="s">
        <v>2617</v>
      </c>
      <c r="M609" s="245">
        <f>M604+M392+M263</f>
        <v>178.71597222222221</v>
      </c>
      <c r="N609" s="246" t="s">
        <v>2618</v>
      </c>
    </row>
    <row r="610" spans="1:14">
      <c r="A610" s="13">
        <v>610</v>
      </c>
    </row>
    <row r="611" spans="1:14">
      <c r="A611" s="13">
        <v>611</v>
      </c>
    </row>
    <row r="612" spans="1:14">
      <c r="A612" s="13">
        <v>612</v>
      </c>
    </row>
    <row r="613" spans="1:14">
      <c r="A613" s="13">
        <v>613</v>
      </c>
    </row>
    <row r="614" spans="1:14">
      <c r="A614" s="13">
        <v>614</v>
      </c>
    </row>
    <row r="615" spans="1:14">
      <c r="A615" s="13">
        <v>615</v>
      </c>
    </row>
    <row r="616" spans="1:14">
      <c r="A616" s="13">
        <v>616</v>
      </c>
    </row>
    <row r="617" spans="1:14">
      <c r="A617" s="13">
        <v>617</v>
      </c>
    </row>
    <row r="618" spans="1:14">
      <c r="A618" s="13">
        <v>618</v>
      </c>
    </row>
    <row r="619" spans="1:14">
      <c r="A619" s="13">
        <v>619</v>
      </c>
    </row>
    <row r="620" spans="1:14">
      <c r="A620" s="13">
        <v>620</v>
      </c>
    </row>
    <row r="621" spans="1:14">
      <c r="A621" s="13">
        <v>621</v>
      </c>
    </row>
    <row r="622" spans="1:14">
      <c r="A622" s="13">
        <v>622</v>
      </c>
    </row>
  </sheetData>
  <sortState ref="A502:Q530">
    <sortCondition ref="B502:B530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3"/>
  <sheetViews>
    <sheetView topLeftCell="A534" workbookViewId="0">
      <selection activeCell="E544" sqref="E544"/>
    </sheetView>
  </sheetViews>
  <sheetFormatPr baseColWidth="10" defaultRowHeight="15"/>
  <cols>
    <col min="1" max="1" width="16.140625" bestFit="1" customWidth="1"/>
    <col min="2" max="2" width="30.140625" bestFit="1" customWidth="1"/>
    <col min="3" max="3" width="96" bestFit="1" customWidth="1"/>
    <col min="4" max="4" width="16.28515625" bestFit="1" customWidth="1"/>
  </cols>
  <sheetData>
    <row r="1" spans="1:4">
      <c r="A1" s="161" t="s">
        <v>2626</v>
      </c>
      <c r="B1" s="161" t="s">
        <v>262</v>
      </c>
      <c r="C1" s="161" t="s">
        <v>263</v>
      </c>
      <c r="D1" s="161" t="s">
        <v>2627</v>
      </c>
    </row>
    <row r="2" spans="1:4">
      <c r="A2" s="274" t="s">
        <v>381</v>
      </c>
      <c r="B2" s="274" t="s">
        <v>382</v>
      </c>
      <c r="C2" s="274" t="s">
        <v>383</v>
      </c>
      <c r="D2" s="275" t="s">
        <v>75</v>
      </c>
    </row>
    <row r="3" spans="1:4">
      <c r="A3" s="274" t="s">
        <v>2123</v>
      </c>
      <c r="B3" s="274" t="s">
        <v>2124</v>
      </c>
      <c r="C3" s="274" t="s">
        <v>2125</v>
      </c>
      <c r="D3" s="275" t="s">
        <v>75</v>
      </c>
    </row>
    <row r="4" spans="1:4">
      <c r="A4" s="274" t="s">
        <v>650</v>
      </c>
      <c r="B4" s="274" t="s">
        <v>651</v>
      </c>
      <c r="C4" s="274" t="s">
        <v>652</v>
      </c>
      <c r="D4" s="275" t="s">
        <v>2635</v>
      </c>
    </row>
    <row r="5" spans="1:4">
      <c r="A5" s="274" t="s">
        <v>2338</v>
      </c>
      <c r="B5" s="274" t="s">
        <v>2339</v>
      </c>
      <c r="C5" s="274" t="s">
        <v>2340</v>
      </c>
      <c r="D5" s="275" t="s">
        <v>2635</v>
      </c>
    </row>
    <row r="6" spans="1:4">
      <c r="A6" s="274" t="s">
        <v>752</v>
      </c>
      <c r="B6" s="274" t="s">
        <v>753</v>
      </c>
      <c r="C6" s="274" t="s">
        <v>754</v>
      </c>
      <c r="D6" s="275" t="s">
        <v>2635</v>
      </c>
    </row>
    <row r="7" spans="1:4">
      <c r="A7" s="274" t="s">
        <v>1190</v>
      </c>
      <c r="B7" s="274" t="s">
        <v>1191</v>
      </c>
      <c r="C7" s="274" t="s">
        <v>1192</v>
      </c>
      <c r="D7" s="275" t="s">
        <v>2635</v>
      </c>
    </row>
    <row r="8" spans="1:4">
      <c r="A8" s="274" t="s">
        <v>366</v>
      </c>
      <c r="B8" s="274" t="s">
        <v>367</v>
      </c>
      <c r="C8" s="274" t="s">
        <v>368</v>
      </c>
      <c r="D8" s="275" t="s">
        <v>2635</v>
      </c>
    </row>
    <row r="9" spans="1:4">
      <c r="A9" s="274" t="s">
        <v>1195</v>
      </c>
      <c r="B9" s="274" t="s">
        <v>1196</v>
      </c>
      <c r="C9" s="274" t="s">
        <v>1197</v>
      </c>
      <c r="D9" s="275" t="s">
        <v>2635</v>
      </c>
    </row>
    <row r="10" spans="1:4">
      <c r="A10" s="274" t="s">
        <v>1591</v>
      </c>
      <c r="B10" s="274" t="s">
        <v>1592</v>
      </c>
      <c r="C10" s="274" t="s">
        <v>1593</v>
      </c>
      <c r="D10" s="275" t="s">
        <v>2635</v>
      </c>
    </row>
    <row r="11" spans="1:4">
      <c r="A11" s="274" t="s">
        <v>1051</v>
      </c>
      <c r="B11" s="274" t="s">
        <v>1052</v>
      </c>
      <c r="C11" s="274" t="s">
        <v>1053</v>
      </c>
      <c r="D11" s="275" t="s">
        <v>2635</v>
      </c>
    </row>
    <row r="12" spans="1:4">
      <c r="A12" s="274" t="s">
        <v>1803</v>
      </c>
      <c r="B12" s="274" t="s">
        <v>1804</v>
      </c>
      <c r="C12" s="274" t="s">
        <v>1805</v>
      </c>
      <c r="D12" s="275" t="s">
        <v>2635</v>
      </c>
    </row>
    <row r="13" spans="1:4">
      <c r="A13" s="274" t="s">
        <v>1551</v>
      </c>
      <c r="B13" s="274" t="s">
        <v>1552</v>
      </c>
      <c r="C13" s="274" t="s">
        <v>1553</v>
      </c>
      <c r="D13" s="275" t="s">
        <v>2635</v>
      </c>
    </row>
    <row r="14" spans="1:4">
      <c r="A14" s="274" t="s">
        <v>1913</v>
      </c>
      <c r="B14" s="274" t="s">
        <v>1914</v>
      </c>
      <c r="C14" s="274" t="s">
        <v>1915</v>
      </c>
      <c r="D14" s="275" t="s">
        <v>2635</v>
      </c>
    </row>
    <row r="15" spans="1:4">
      <c r="A15" s="274" t="s">
        <v>942</v>
      </c>
      <c r="B15" s="274" t="s">
        <v>943</v>
      </c>
      <c r="C15" s="274" t="s">
        <v>944</v>
      </c>
      <c r="D15" s="275" t="s">
        <v>2635</v>
      </c>
    </row>
    <row r="16" spans="1:4">
      <c r="A16" s="274" t="s">
        <v>1908</v>
      </c>
      <c r="B16" s="274" t="s">
        <v>1909</v>
      </c>
      <c r="C16" s="274" t="s">
        <v>1910</v>
      </c>
      <c r="D16" s="275" t="s">
        <v>2635</v>
      </c>
    </row>
    <row r="17" spans="1:4">
      <c r="A17" s="274" t="s">
        <v>2407</v>
      </c>
      <c r="B17" s="274" t="s">
        <v>1359</v>
      </c>
      <c r="C17" s="274" t="s">
        <v>2408</v>
      </c>
      <c r="D17" s="275" t="s">
        <v>2635</v>
      </c>
    </row>
    <row r="18" spans="1:4">
      <c r="A18" s="274" t="s">
        <v>607</v>
      </c>
      <c r="B18" s="274" t="s">
        <v>608</v>
      </c>
      <c r="C18" s="274" t="s">
        <v>609</v>
      </c>
      <c r="D18" s="275" t="s">
        <v>2635</v>
      </c>
    </row>
    <row r="19" spans="1:4">
      <c r="A19" s="274" t="s">
        <v>677</v>
      </c>
      <c r="B19" s="274" t="s">
        <v>678</v>
      </c>
      <c r="C19" s="274" t="s">
        <v>679</v>
      </c>
      <c r="D19" s="275" t="s">
        <v>2635</v>
      </c>
    </row>
    <row r="20" spans="1:4">
      <c r="A20" s="274" t="s">
        <v>655</v>
      </c>
      <c r="B20" s="274" t="s">
        <v>656</v>
      </c>
      <c r="C20" s="274" t="s">
        <v>657</v>
      </c>
      <c r="D20" s="275" t="s">
        <v>2635</v>
      </c>
    </row>
    <row r="21" spans="1:4">
      <c r="A21" s="274" t="s">
        <v>2510</v>
      </c>
      <c r="B21" s="274" t="s">
        <v>2511</v>
      </c>
      <c r="C21" s="274" t="s">
        <v>2512</v>
      </c>
      <c r="D21" s="275" t="s">
        <v>2635</v>
      </c>
    </row>
    <row r="22" spans="1:4">
      <c r="A22" s="274" t="s">
        <v>2161</v>
      </c>
      <c r="B22" s="274" t="s">
        <v>2162</v>
      </c>
      <c r="C22" s="274" t="s">
        <v>2163</v>
      </c>
      <c r="D22" s="275" t="s">
        <v>2635</v>
      </c>
    </row>
    <row r="23" spans="1:4">
      <c r="A23" s="274" t="s">
        <v>1765</v>
      </c>
      <c r="B23" s="274" t="s">
        <v>1766</v>
      </c>
      <c r="C23" s="274" t="s">
        <v>1767</v>
      </c>
      <c r="D23" s="275" t="s">
        <v>2635</v>
      </c>
    </row>
    <row r="24" spans="1:4">
      <c r="A24" s="274" t="s">
        <v>1247</v>
      </c>
      <c r="B24" s="274" t="s">
        <v>982</v>
      </c>
      <c r="C24" s="274" t="s">
        <v>1248</v>
      </c>
      <c r="D24" s="275" t="s">
        <v>2629</v>
      </c>
    </row>
    <row r="25" spans="1:4">
      <c r="A25" s="274" t="s">
        <v>2398</v>
      </c>
      <c r="B25" s="274" t="s">
        <v>2399</v>
      </c>
      <c r="C25" s="274" t="s">
        <v>2400</v>
      </c>
      <c r="D25" s="275" t="s">
        <v>2629</v>
      </c>
    </row>
    <row r="26" spans="1:4">
      <c r="A26" s="274" t="s">
        <v>2462</v>
      </c>
      <c r="B26" s="274" t="s">
        <v>2463</v>
      </c>
      <c r="C26" s="274" t="s">
        <v>2464</v>
      </c>
      <c r="D26" s="275" t="s">
        <v>2629</v>
      </c>
    </row>
    <row r="27" spans="1:4">
      <c r="A27" s="274" t="s">
        <v>397</v>
      </c>
      <c r="B27" s="274" t="s">
        <v>398</v>
      </c>
      <c r="C27" s="274" t="s">
        <v>399</v>
      </c>
      <c r="D27" s="275" t="s">
        <v>2629</v>
      </c>
    </row>
    <row r="28" spans="1:4">
      <c r="A28" s="274" t="s">
        <v>1664</v>
      </c>
      <c r="B28" s="274" t="s">
        <v>1665</v>
      </c>
      <c r="C28" s="274" t="s">
        <v>1666</v>
      </c>
      <c r="D28" s="275" t="s">
        <v>2629</v>
      </c>
    </row>
    <row r="29" spans="1:4">
      <c r="A29" s="274" t="s">
        <v>1423</v>
      </c>
      <c r="B29" s="274" t="s">
        <v>1424</v>
      </c>
      <c r="C29" s="274" t="s">
        <v>1425</v>
      </c>
      <c r="D29" s="275" t="s">
        <v>2629</v>
      </c>
    </row>
    <row r="30" spans="1:4">
      <c r="A30" s="274" t="s">
        <v>1147</v>
      </c>
      <c r="B30" s="274" t="s">
        <v>1148</v>
      </c>
      <c r="C30" s="274" t="s">
        <v>1149</v>
      </c>
      <c r="D30" s="275" t="s">
        <v>2629</v>
      </c>
    </row>
    <row r="31" spans="1:4">
      <c r="A31" s="274" t="s">
        <v>1419</v>
      </c>
      <c r="B31" s="274" t="s">
        <v>1420</v>
      </c>
      <c r="C31" s="274" t="s">
        <v>1421</v>
      </c>
      <c r="D31" s="275" t="s">
        <v>2629</v>
      </c>
    </row>
    <row r="32" spans="1:4">
      <c r="A32" s="274" t="s">
        <v>2350</v>
      </c>
      <c r="B32" s="274" t="s">
        <v>2351</v>
      </c>
      <c r="C32" s="274" t="s">
        <v>2352</v>
      </c>
      <c r="D32" s="275" t="s">
        <v>2629</v>
      </c>
    </row>
    <row r="33" spans="1:4">
      <c r="A33" s="274" t="s">
        <v>2402</v>
      </c>
      <c r="B33" s="274" t="s">
        <v>2403</v>
      </c>
      <c r="C33" s="274" t="s">
        <v>2404</v>
      </c>
      <c r="D33" s="275" t="s">
        <v>2629</v>
      </c>
    </row>
    <row r="34" spans="1:4">
      <c r="A34" s="274" t="s">
        <v>511</v>
      </c>
      <c r="B34" s="274" t="s">
        <v>512</v>
      </c>
      <c r="C34" s="274" t="s">
        <v>513</v>
      </c>
      <c r="D34" s="275" t="s">
        <v>2629</v>
      </c>
    </row>
    <row r="35" spans="1:4">
      <c r="A35" s="274" t="s">
        <v>1294</v>
      </c>
      <c r="B35" s="274" t="s">
        <v>1295</v>
      </c>
      <c r="C35" s="274" t="s">
        <v>1296</v>
      </c>
      <c r="D35" s="275" t="s">
        <v>2629</v>
      </c>
    </row>
    <row r="36" spans="1:4">
      <c r="A36" s="274" t="s">
        <v>1058</v>
      </c>
      <c r="B36" s="274" t="s">
        <v>1059</v>
      </c>
      <c r="C36" s="274" t="s">
        <v>1060</v>
      </c>
      <c r="D36" s="275" t="s">
        <v>2629</v>
      </c>
    </row>
    <row r="37" spans="1:4">
      <c r="A37" s="274" t="s">
        <v>833</v>
      </c>
      <c r="B37" s="274" t="s">
        <v>834</v>
      </c>
      <c r="C37" s="274" t="s">
        <v>835</v>
      </c>
      <c r="D37" s="275" t="s">
        <v>2629</v>
      </c>
    </row>
    <row r="38" spans="1:4">
      <c r="A38" s="274" t="s">
        <v>1770</v>
      </c>
      <c r="B38" s="274" t="s">
        <v>1771</v>
      </c>
      <c r="C38" s="274" t="s">
        <v>1772</v>
      </c>
      <c r="D38" s="275" t="s">
        <v>2629</v>
      </c>
    </row>
    <row r="39" spans="1:4">
      <c r="A39" s="274" t="s">
        <v>1952</v>
      </c>
      <c r="B39" s="274" t="s">
        <v>1953</v>
      </c>
      <c r="C39" s="274" t="s">
        <v>1954</v>
      </c>
      <c r="D39" s="275" t="s">
        <v>2629</v>
      </c>
    </row>
    <row r="40" spans="1:4">
      <c r="A40" s="274" t="s">
        <v>762</v>
      </c>
      <c r="B40" s="274" t="s">
        <v>763</v>
      </c>
      <c r="C40" s="274" t="s">
        <v>764</v>
      </c>
      <c r="D40" s="275" t="s">
        <v>2629</v>
      </c>
    </row>
    <row r="41" spans="1:4">
      <c r="A41" s="274" t="s">
        <v>2514</v>
      </c>
      <c r="B41" s="274" t="s">
        <v>2515</v>
      </c>
      <c r="C41" s="274" t="s">
        <v>2516</v>
      </c>
      <c r="D41" s="275" t="s">
        <v>2629</v>
      </c>
    </row>
    <row r="42" spans="1:4">
      <c r="A42" s="274" t="s">
        <v>2358</v>
      </c>
      <c r="B42" s="274" t="s">
        <v>2359</v>
      </c>
      <c r="C42" s="274" t="s">
        <v>2360</v>
      </c>
      <c r="D42" s="275" t="s">
        <v>2629</v>
      </c>
    </row>
    <row r="43" spans="1:4">
      <c r="A43" s="274" t="s">
        <v>688</v>
      </c>
      <c r="B43" s="274" t="s">
        <v>689</v>
      </c>
      <c r="C43" s="274" t="s">
        <v>690</v>
      </c>
      <c r="D43" s="275" t="s">
        <v>2629</v>
      </c>
    </row>
    <row r="44" spans="1:4">
      <c r="A44" s="274" t="s">
        <v>2028</v>
      </c>
      <c r="B44" s="274" t="s">
        <v>1535</v>
      </c>
      <c r="C44" s="274" t="s">
        <v>2029</v>
      </c>
      <c r="D44" s="275" t="s">
        <v>2629</v>
      </c>
    </row>
    <row r="45" spans="1:4">
      <c r="A45" s="274" t="s">
        <v>1534</v>
      </c>
      <c r="B45" s="274" t="s">
        <v>1535</v>
      </c>
      <c r="C45" s="274" t="s">
        <v>1536</v>
      </c>
      <c r="D45" s="275" t="s">
        <v>2629</v>
      </c>
    </row>
    <row r="46" spans="1:4">
      <c r="A46" s="274" t="s">
        <v>567</v>
      </c>
      <c r="B46" s="274" t="s">
        <v>568</v>
      </c>
      <c r="C46" s="274" t="s">
        <v>569</v>
      </c>
      <c r="D46" s="275" t="s">
        <v>2629</v>
      </c>
    </row>
    <row r="47" spans="1:4">
      <c r="A47" s="274" t="s">
        <v>849</v>
      </c>
      <c r="B47" s="274" t="s">
        <v>850</v>
      </c>
      <c r="C47" s="274" t="s">
        <v>851</v>
      </c>
      <c r="D47" s="275" t="s">
        <v>2629</v>
      </c>
    </row>
    <row r="48" spans="1:4">
      <c r="A48" s="274" t="s">
        <v>2057</v>
      </c>
      <c r="B48" s="274" t="s">
        <v>2058</v>
      </c>
      <c r="C48" s="274" t="s">
        <v>2059</v>
      </c>
      <c r="D48" s="275" t="s">
        <v>2629</v>
      </c>
    </row>
    <row r="49" spans="1:4">
      <c r="A49" s="274" t="s">
        <v>322</v>
      </c>
      <c r="B49" s="274" t="s">
        <v>323</v>
      </c>
      <c r="C49" s="274" t="s">
        <v>324</v>
      </c>
      <c r="D49" s="275" t="s">
        <v>2629</v>
      </c>
    </row>
    <row r="50" spans="1:4">
      <c r="A50" s="274" t="s">
        <v>281</v>
      </c>
      <c r="B50" s="274" t="s">
        <v>282</v>
      </c>
      <c r="C50" s="274" t="s">
        <v>283</v>
      </c>
      <c r="D50" s="275" t="s">
        <v>2629</v>
      </c>
    </row>
    <row r="51" spans="1:4">
      <c r="A51" s="274" t="s">
        <v>2471</v>
      </c>
      <c r="B51" s="274" t="s">
        <v>2472</v>
      </c>
      <c r="C51" s="274" t="s">
        <v>2473</v>
      </c>
      <c r="D51" s="275" t="s">
        <v>2629</v>
      </c>
    </row>
    <row r="52" spans="1:4">
      <c r="A52" s="274" t="s">
        <v>2354</v>
      </c>
      <c r="B52" s="274" t="s">
        <v>2355</v>
      </c>
      <c r="C52" s="274" t="s">
        <v>2356</v>
      </c>
      <c r="D52" s="275" t="s">
        <v>2629</v>
      </c>
    </row>
    <row r="53" spans="1:4">
      <c r="A53" s="274" t="s">
        <v>293</v>
      </c>
      <c r="B53" s="274" t="s">
        <v>294</v>
      </c>
      <c r="C53" s="274" t="s">
        <v>295</v>
      </c>
      <c r="D53" s="275" t="s">
        <v>2629</v>
      </c>
    </row>
    <row r="54" spans="1:4">
      <c r="A54" s="274" t="s">
        <v>2458</v>
      </c>
      <c r="B54" s="274" t="s">
        <v>2459</v>
      </c>
      <c r="C54" s="274" t="s">
        <v>2460</v>
      </c>
      <c r="D54" s="275" t="s">
        <v>2629</v>
      </c>
    </row>
    <row r="55" spans="1:4">
      <c r="A55" s="274" t="s">
        <v>1849</v>
      </c>
      <c r="B55" s="274" t="s">
        <v>1850</v>
      </c>
      <c r="C55" s="274" t="s">
        <v>1851</v>
      </c>
      <c r="D55" s="275" t="s">
        <v>2629</v>
      </c>
    </row>
    <row r="56" spans="1:4">
      <c r="A56" s="274" t="s">
        <v>2480</v>
      </c>
      <c r="B56" s="274" t="s">
        <v>2481</v>
      </c>
      <c r="C56" s="274" t="s">
        <v>2482</v>
      </c>
      <c r="D56" s="275" t="s">
        <v>2629</v>
      </c>
    </row>
    <row r="57" spans="1:4">
      <c r="A57" s="274" t="s">
        <v>806</v>
      </c>
      <c r="B57" s="274" t="s">
        <v>807</v>
      </c>
      <c r="C57" s="274" t="s">
        <v>808</v>
      </c>
      <c r="D57" s="275" t="s">
        <v>2629</v>
      </c>
    </row>
    <row r="58" spans="1:4">
      <c r="A58" s="274" t="s">
        <v>665</v>
      </c>
      <c r="B58" s="274" t="s">
        <v>666</v>
      </c>
      <c r="C58" s="274" t="s">
        <v>667</v>
      </c>
      <c r="D58" s="275" t="s">
        <v>2629</v>
      </c>
    </row>
    <row r="59" spans="1:4">
      <c r="A59" s="274" t="s">
        <v>1823</v>
      </c>
      <c r="B59" s="274" t="s">
        <v>1824</v>
      </c>
      <c r="C59" s="274" t="s">
        <v>1825</v>
      </c>
      <c r="D59" s="275" t="s">
        <v>2629</v>
      </c>
    </row>
    <row r="60" spans="1:4">
      <c r="A60" s="274" t="s">
        <v>2525</v>
      </c>
      <c r="B60" s="274" t="s">
        <v>2526</v>
      </c>
      <c r="C60" s="274" t="s">
        <v>2527</v>
      </c>
      <c r="D60" s="275" t="s">
        <v>2629</v>
      </c>
    </row>
    <row r="61" spans="1:4">
      <c r="A61" s="274" t="s">
        <v>1156</v>
      </c>
      <c r="B61" s="274" t="s">
        <v>1157</v>
      </c>
      <c r="C61" s="274" t="s">
        <v>1158</v>
      </c>
      <c r="D61" s="275" t="s">
        <v>2629</v>
      </c>
    </row>
    <row r="62" spans="1:4">
      <c r="A62" s="274" t="s">
        <v>1185</v>
      </c>
      <c r="B62" s="274" t="s">
        <v>1186</v>
      </c>
      <c r="C62" s="274" t="s">
        <v>1187</v>
      </c>
      <c r="D62" s="275" t="s">
        <v>2629</v>
      </c>
    </row>
    <row r="63" spans="1:4">
      <c r="A63" s="274" t="s">
        <v>757</v>
      </c>
      <c r="B63" s="274" t="s">
        <v>758</v>
      </c>
      <c r="C63" s="274" t="s">
        <v>759</v>
      </c>
      <c r="D63" s="275" t="s">
        <v>2629</v>
      </c>
    </row>
    <row r="64" spans="1:4">
      <c r="A64" s="274" t="s">
        <v>2501</v>
      </c>
      <c r="B64" s="274" t="s">
        <v>2502</v>
      </c>
      <c r="C64" s="274" t="s">
        <v>2503</v>
      </c>
      <c r="D64" s="275" t="s">
        <v>2629</v>
      </c>
    </row>
    <row r="65" spans="1:4">
      <c r="A65" s="274" t="s">
        <v>682</v>
      </c>
      <c r="B65" s="274" t="s">
        <v>683</v>
      </c>
      <c r="C65" s="274" t="s">
        <v>684</v>
      </c>
      <c r="D65" s="275" t="s">
        <v>2629</v>
      </c>
    </row>
    <row r="66" spans="1:4">
      <c r="A66" s="274" t="s">
        <v>2366</v>
      </c>
      <c r="B66" s="274" t="s">
        <v>2367</v>
      </c>
      <c r="C66" s="274" t="s">
        <v>2368</v>
      </c>
      <c r="D66" s="275" t="s">
        <v>2629</v>
      </c>
    </row>
    <row r="67" spans="1:4">
      <c r="A67" s="274" t="s">
        <v>1673</v>
      </c>
      <c r="B67" s="274" t="s">
        <v>1674</v>
      </c>
      <c r="C67" s="274" t="s">
        <v>1675</v>
      </c>
      <c r="D67" s="275" t="s">
        <v>2629</v>
      </c>
    </row>
    <row r="68" spans="1:4">
      <c r="A68" s="274" t="s">
        <v>2254</v>
      </c>
      <c r="B68" s="274" t="s">
        <v>2255</v>
      </c>
      <c r="C68" s="274" t="s">
        <v>2256</v>
      </c>
      <c r="D68" s="275" t="s">
        <v>2629</v>
      </c>
    </row>
    <row r="69" spans="1:4">
      <c r="A69" s="274" t="s">
        <v>2017</v>
      </c>
      <c r="B69" s="274" t="s">
        <v>2018</v>
      </c>
      <c r="C69" s="274" t="s">
        <v>2019</v>
      </c>
      <c r="D69" s="275" t="s">
        <v>2629</v>
      </c>
    </row>
    <row r="70" spans="1:4">
      <c r="A70" s="274" t="s">
        <v>1075</v>
      </c>
      <c r="B70" s="274" t="s">
        <v>1076</v>
      </c>
      <c r="C70" s="274" t="s">
        <v>1077</v>
      </c>
      <c r="D70" s="275" t="s">
        <v>2629</v>
      </c>
    </row>
    <row r="71" spans="1:4">
      <c r="A71" s="274" t="s">
        <v>1917</v>
      </c>
      <c r="B71" s="274" t="s">
        <v>1918</v>
      </c>
      <c r="C71" s="274" t="s">
        <v>1919</v>
      </c>
      <c r="D71" s="275" t="s">
        <v>2629</v>
      </c>
    </row>
    <row r="72" spans="1:4">
      <c r="A72" s="274" t="s">
        <v>910</v>
      </c>
      <c r="B72" s="274" t="s">
        <v>911</v>
      </c>
      <c r="C72" s="274" t="s">
        <v>912</v>
      </c>
      <c r="D72" s="275" t="s">
        <v>2629</v>
      </c>
    </row>
    <row r="73" spans="1:4">
      <c r="A73" s="274" t="s">
        <v>460</v>
      </c>
      <c r="B73" s="274" t="s">
        <v>461</v>
      </c>
      <c r="C73" s="274" t="s">
        <v>462</v>
      </c>
      <c r="D73" s="275" t="s">
        <v>2629</v>
      </c>
    </row>
    <row r="74" spans="1:4">
      <c r="A74" s="274" t="s">
        <v>2000</v>
      </c>
      <c r="B74" s="274" t="s">
        <v>2001</v>
      </c>
      <c r="C74" s="274" t="s">
        <v>2002</v>
      </c>
      <c r="D74" s="275" t="s">
        <v>2629</v>
      </c>
    </row>
    <row r="75" spans="1:4">
      <c r="A75" s="274" t="s">
        <v>2506</v>
      </c>
      <c r="B75" s="274" t="s">
        <v>2507</v>
      </c>
      <c r="C75" s="274" t="s">
        <v>2508</v>
      </c>
      <c r="D75" s="275" t="s">
        <v>2629</v>
      </c>
    </row>
    <row r="76" spans="1:4">
      <c r="A76" s="274" t="s">
        <v>1733</v>
      </c>
      <c r="B76" s="274" t="s">
        <v>1734</v>
      </c>
      <c r="C76" s="274" t="s">
        <v>1735</v>
      </c>
      <c r="D76" s="275" t="s">
        <v>2629</v>
      </c>
    </row>
    <row r="77" spans="1:4">
      <c r="A77" s="274" t="s">
        <v>960</v>
      </c>
      <c r="B77" s="274" t="s">
        <v>961</v>
      </c>
      <c r="C77" s="274" t="s">
        <v>962</v>
      </c>
      <c r="D77" s="275" t="s">
        <v>2629</v>
      </c>
    </row>
    <row r="78" spans="1:4">
      <c r="A78" s="274" t="s">
        <v>2371</v>
      </c>
      <c r="B78" s="274" t="s">
        <v>2372</v>
      </c>
      <c r="C78" s="274" t="s">
        <v>2373</v>
      </c>
      <c r="D78" s="275" t="s">
        <v>2629</v>
      </c>
    </row>
    <row r="79" spans="1:4">
      <c r="A79" s="274" t="s">
        <v>602</v>
      </c>
      <c r="B79" s="274" t="s">
        <v>603</v>
      </c>
      <c r="C79" s="274" t="s">
        <v>604</v>
      </c>
      <c r="D79" s="275" t="s">
        <v>2629</v>
      </c>
    </row>
    <row r="80" spans="1:4">
      <c r="A80" s="274" t="s">
        <v>2375</v>
      </c>
      <c r="B80" s="274" t="s">
        <v>2376</v>
      </c>
      <c r="C80" s="274" t="s">
        <v>2377</v>
      </c>
      <c r="D80" s="275" t="s">
        <v>2629</v>
      </c>
    </row>
    <row r="81" spans="1:4">
      <c r="A81" s="274" t="s">
        <v>2386</v>
      </c>
      <c r="B81" s="274" t="s">
        <v>2387</v>
      </c>
      <c r="C81" s="274" t="s">
        <v>2388</v>
      </c>
      <c r="D81" s="275" t="s">
        <v>2629</v>
      </c>
    </row>
    <row r="82" spans="1:4">
      <c r="A82" s="274" t="s">
        <v>1676</v>
      </c>
      <c r="B82" s="274" t="s">
        <v>1677</v>
      </c>
      <c r="C82" s="274" t="s">
        <v>1678</v>
      </c>
      <c r="D82" s="275" t="s">
        <v>2629</v>
      </c>
    </row>
    <row r="83" spans="1:4">
      <c r="A83" s="274" t="s">
        <v>2489</v>
      </c>
      <c r="B83" s="274" t="s">
        <v>1434</v>
      </c>
      <c r="C83" s="274" t="s">
        <v>2490</v>
      </c>
      <c r="D83" s="275" t="s">
        <v>2629</v>
      </c>
    </row>
    <row r="84" spans="1:4">
      <c r="A84" s="274" t="s">
        <v>2485</v>
      </c>
      <c r="B84" s="274" t="s">
        <v>1434</v>
      </c>
      <c r="C84" s="274" t="s">
        <v>2486</v>
      </c>
      <c r="D84" s="275" t="s">
        <v>2629</v>
      </c>
    </row>
    <row r="85" spans="1:4">
      <c r="A85" s="274" t="s">
        <v>1414</v>
      </c>
      <c r="B85" s="274" t="s">
        <v>1415</v>
      </c>
      <c r="C85" s="274" t="s">
        <v>1416</v>
      </c>
      <c r="D85" s="275" t="s">
        <v>2629</v>
      </c>
    </row>
    <row r="86" spans="1:4">
      <c r="A86" s="274" t="s">
        <v>2417</v>
      </c>
      <c r="B86" s="274" t="s">
        <v>2418</v>
      </c>
      <c r="C86" s="274" t="s">
        <v>2419</v>
      </c>
      <c r="D86" s="275" t="s">
        <v>2629</v>
      </c>
    </row>
    <row r="87" spans="1:4">
      <c r="A87" s="274" t="s">
        <v>1739</v>
      </c>
      <c r="B87" s="274" t="s">
        <v>1740</v>
      </c>
      <c r="C87" s="274" t="s">
        <v>1741</v>
      </c>
      <c r="D87" s="275" t="s">
        <v>2629</v>
      </c>
    </row>
    <row r="88" spans="1:4">
      <c r="A88" s="274" t="s">
        <v>1818</v>
      </c>
      <c r="B88" s="274" t="s">
        <v>1819</v>
      </c>
      <c r="C88" s="274" t="s">
        <v>1820</v>
      </c>
      <c r="D88" s="275" t="s">
        <v>2629</v>
      </c>
    </row>
    <row r="89" spans="1:4">
      <c r="A89" s="274" t="s">
        <v>491</v>
      </c>
      <c r="B89" s="274" t="s">
        <v>492</v>
      </c>
      <c r="C89" s="274" t="s">
        <v>493</v>
      </c>
      <c r="D89" s="275" t="s">
        <v>2629</v>
      </c>
    </row>
    <row r="90" spans="1:4">
      <c r="A90" s="274" t="s">
        <v>1237</v>
      </c>
      <c r="B90" s="274" t="s">
        <v>1238</v>
      </c>
      <c r="C90" s="274" t="s">
        <v>1239</v>
      </c>
      <c r="D90" s="275" t="s">
        <v>2629</v>
      </c>
    </row>
    <row r="91" spans="1:4">
      <c r="A91" s="274" t="s">
        <v>1124</v>
      </c>
      <c r="B91" s="274" t="s">
        <v>1125</v>
      </c>
      <c r="C91" s="274" t="s">
        <v>1126</v>
      </c>
      <c r="D91" s="275" t="s">
        <v>2629</v>
      </c>
    </row>
    <row r="92" spans="1:4">
      <c r="A92" s="274" t="s">
        <v>2453</v>
      </c>
      <c r="B92" s="274" t="s">
        <v>2454</v>
      </c>
      <c r="C92" s="274" t="s">
        <v>2455</v>
      </c>
      <c r="D92" s="275" t="s">
        <v>2629</v>
      </c>
    </row>
    <row r="93" spans="1:4">
      <c r="A93" s="274" t="s">
        <v>1250</v>
      </c>
      <c r="B93" s="274" t="s">
        <v>1251</v>
      </c>
      <c r="C93" s="274" t="s">
        <v>1252</v>
      </c>
      <c r="D93" s="275" t="s">
        <v>2629</v>
      </c>
    </row>
    <row r="94" spans="1:4">
      <c r="A94" s="274" t="s">
        <v>1323</v>
      </c>
      <c r="B94" s="274" t="s">
        <v>1324</v>
      </c>
      <c r="C94" s="274" t="s">
        <v>1325</v>
      </c>
      <c r="D94" s="275" t="s">
        <v>2629</v>
      </c>
    </row>
    <row r="95" spans="1:4">
      <c r="A95" s="274" t="s">
        <v>501</v>
      </c>
      <c r="B95" s="274" t="s">
        <v>502</v>
      </c>
      <c r="C95" s="274" t="s">
        <v>503</v>
      </c>
      <c r="D95" s="275" t="s">
        <v>2629</v>
      </c>
    </row>
    <row r="96" spans="1:4">
      <c r="A96" s="274" t="s">
        <v>981</v>
      </c>
      <c r="B96" s="274" t="s">
        <v>982</v>
      </c>
      <c r="C96" s="274" t="s">
        <v>983</v>
      </c>
      <c r="D96" s="275" t="s">
        <v>2628</v>
      </c>
    </row>
    <row r="97" spans="1:4">
      <c r="A97" s="274" t="s">
        <v>1040</v>
      </c>
      <c r="B97" s="274" t="s">
        <v>1041</v>
      </c>
      <c r="C97" s="274" t="s">
        <v>1042</v>
      </c>
      <c r="D97" s="275" t="s">
        <v>2628</v>
      </c>
    </row>
    <row r="98" spans="1:4">
      <c r="A98" s="274" t="s">
        <v>1679</v>
      </c>
      <c r="B98" s="274" t="s">
        <v>1680</v>
      </c>
      <c r="C98" s="274" t="s">
        <v>1681</v>
      </c>
      <c r="D98" s="275" t="s">
        <v>2628</v>
      </c>
    </row>
    <row r="99" spans="1:4">
      <c r="A99" s="274" t="s">
        <v>617</v>
      </c>
      <c r="B99" s="274" t="s">
        <v>618</v>
      </c>
      <c r="C99" s="274" t="s">
        <v>619</v>
      </c>
      <c r="D99" s="275" t="s">
        <v>2628</v>
      </c>
    </row>
    <row r="100" spans="1:4">
      <c r="A100" s="274" t="s">
        <v>929</v>
      </c>
      <c r="B100" s="274" t="s">
        <v>930</v>
      </c>
      <c r="C100" s="274" t="s">
        <v>931</v>
      </c>
      <c r="D100" s="275" t="s">
        <v>2628</v>
      </c>
    </row>
    <row r="101" spans="1:4">
      <c r="A101" s="274" t="s">
        <v>998</v>
      </c>
      <c r="B101" s="274" t="s">
        <v>999</v>
      </c>
      <c r="C101" s="274" t="s">
        <v>1000</v>
      </c>
      <c r="D101" s="275" t="s">
        <v>2628</v>
      </c>
    </row>
    <row r="102" spans="1:4">
      <c r="A102" s="274" t="s">
        <v>2529</v>
      </c>
      <c r="B102" s="274" t="s">
        <v>2530</v>
      </c>
      <c r="C102" s="274" t="s">
        <v>2531</v>
      </c>
      <c r="D102" s="275" t="s">
        <v>2628</v>
      </c>
    </row>
    <row r="103" spans="1:4">
      <c r="A103" s="274" t="s">
        <v>1682</v>
      </c>
      <c r="B103" s="274" t="s">
        <v>1683</v>
      </c>
      <c r="C103" s="274" t="s">
        <v>1684</v>
      </c>
      <c r="D103" s="275" t="s">
        <v>2628</v>
      </c>
    </row>
    <row r="104" spans="1:4">
      <c r="A104" s="274" t="s">
        <v>2060</v>
      </c>
      <c r="B104" s="274" t="s">
        <v>2061</v>
      </c>
      <c r="C104" s="274" t="s">
        <v>2062</v>
      </c>
      <c r="D104" s="275" t="s">
        <v>2628</v>
      </c>
    </row>
    <row r="105" spans="1:4">
      <c r="A105" s="274" t="s">
        <v>1463</v>
      </c>
      <c r="B105" s="274" t="s">
        <v>1464</v>
      </c>
      <c r="C105" s="274" t="s">
        <v>1465</v>
      </c>
      <c r="D105" s="275" t="s">
        <v>2628</v>
      </c>
    </row>
    <row r="106" spans="1:4">
      <c r="A106" s="274" t="s">
        <v>2052</v>
      </c>
      <c r="B106" s="274" t="s">
        <v>1464</v>
      </c>
      <c r="C106" s="274" t="s">
        <v>2053</v>
      </c>
      <c r="D106" s="275" t="s">
        <v>2628</v>
      </c>
    </row>
    <row r="107" spans="1:4">
      <c r="A107" s="274" t="s">
        <v>532</v>
      </c>
      <c r="B107" s="274" t="s">
        <v>533</v>
      </c>
      <c r="C107" s="274" t="s">
        <v>534</v>
      </c>
      <c r="D107" s="275" t="s">
        <v>2628</v>
      </c>
    </row>
    <row r="108" spans="1:4">
      <c r="A108" s="274" t="s">
        <v>1561</v>
      </c>
      <c r="B108" s="274" t="s">
        <v>1562</v>
      </c>
      <c r="C108" s="274" t="s">
        <v>1563</v>
      </c>
      <c r="D108" s="275" t="s">
        <v>2628</v>
      </c>
    </row>
    <row r="109" spans="1:4">
      <c r="A109" s="274" t="s">
        <v>2496</v>
      </c>
      <c r="B109" s="274" t="s">
        <v>2497</v>
      </c>
      <c r="C109" s="274" t="s">
        <v>2498</v>
      </c>
      <c r="D109" s="275" t="s">
        <v>2628</v>
      </c>
    </row>
    <row r="110" spans="1:4">
      <c r="A110" s="274" t="s">
        <v>1980</v>
      </c>
      <c r="B110" s="274" t="s">
        <v>1981</v>
      </c>
      <c r="C110" s="274" t="s">
        <v>1982</v>
      </c>
      <c r="D110" s="275" t="s">
        <v>2628</v>
      </c>
    </row>
    <row r="111" spans="1:4">
      <c r="A111" s="274" t="s">
        <v>989</v>
      </c>
      <c r="B111" s="274" t="s">
        <v>990</v>
      </c>
      <c r="C111" s="274" t="s">
        <v>991</v>
      </c>
      <c r="D111" s="275" t="s">
        <v>2628</v>
      </c>
    </row>
    <row r="112" spans="1:4">
      <c r="A112" s="274" t="s">
        <v>812</v>
      </c>
      <c r="B112" s="274" t="s">
        <v>813</v>
      </c>
      <c r="C112" s="274" t="s">
        <v>814</v>
      </c>
      <c r="D112" s="275" t="s">
        <v>2628</v>
      </c>
    </row>
    <row r="113" spans="1:4">
      <c r="A113" s="274" t="s">
        <v>2075</v>
      </c>
      <c r="B113" s="274" t="s">
        <v>2076</v>
      </c>
      <c r="C113" s="274" t="s">
        <v>2077</v>
      </c>
      <c r="D113" s="275" t="s">
        <v>2628</v>
      </c>
    </row>
    <row r="114" spans="1:4">
      <c r="A114" s="274" t="s">
        <v>777</v>
      </c>
      <c r="B114" s="274" t="s">
        <v>778</v>
      </c>
      <c r="C114" s="274" t="s">
        <v>779</v>
      </c>
      <c r="D114" s="275" t="s">
        <v>2628</v>
      </c>
    </row>
    <row r="115" spans="1:4">
      <c r="A115" s="274" t="s">
        <v>2449</v>
      </c>
      <c r="B115" s="274" t="s">
        <v>2450</v>
      </c>
      <c r="C115" s="274" t="s">
        <v>2451</v>
      </c>
      <c r="D115" s="275" t="s">
        <v>2628</v>
      </c>
    </row>
    <row r="116" spans="1:4">
      <c r="A116" s="274" t="s">
        <v>2064</v>
      </c>
      <c r="B116" s="274" t="s">
        <v>2065</v>
      </c>
      <c r="C116" s="274" t="s">
        <v>2066</v>
      </c>
      <c r="D116" s="275" t="s">
        <v>2628</v>
      </c>
    </row>
    <row r="117" spans="1:4">
      <c r="A117" s="274" t="s">
        <v>1283</v>
      </c>
      <c r="B117" s="274" t="s">
        <v>1284</v>
      </c>
      <c r="C117" s="274" t="s">
        <v>1285</v>
      </c>
      <c r="D117" s="275" t="s">
        <v>2628</v>
      </c>
    </row>
    <row r="118" spans="1:4">
      <c r="A118" s="274" t="s">
        <v>2548</v>
      </c>
      <c r="B118" s="274" t="s">
        <v>2549</v>
      </c>
      <c r="C118" s="274" t="s">
        <v>2550</v>
      </c>
      <c r="D118" s="275" t="s">
        <v>2628</v>
      </c>
    </row>
    <row r="119" spans="1:4">
      <c r="A119" s="274" t="s">
        <v>1778</v>
      </c>
      <c r="B119" s="274" t="s">
        <v>1779</v>
      </c>
      <c r="C119" s="274" t="s">
        <v>1780</v>
      </c>
      <c r="D119" s="275" t="s">
        <v>2628</v>
      </c>
    </row>
    <row r="120" spans="1:4">
      <c r="A120" s="274" t="s">
        <v>2214</v>
      </c>
      <c r="B120" s="274" t="s">
        <v>2215</v>
      </c>
      <c r="C120" s="274" t="s">
        <v>2216</v>
      </c>
      <c r="D120" s="275" t="s">
        <v>2628</v>
      </c>
    </row>
    <row r="121" spans="1:4">
      <c r="A121" s="274" t="s">
        <v>612</v>
      </c>
      <c r="B121" s="274" t="s">
        <v>613</v>
      </c>
      <c r="C121" s="274" t="s">
        <v>614</v>
      </c>
      <c r="D121" s="275" t="s">
        <v>2628</v>
      </c>
    </row>
    <row r="122" spans="1:4">
      <c r="A122" s="274" t="s">
        <v>1319</v>
      </c>
      <c r="B122" s="274" t="s">
        <v>1320</v>
      </c>
      <c r="C122" s="274" t="s">
        <v>1321</v>
      </c>
      <c r="D122" s="275" t="s">
        <v>2628</v>
      </c>
    </row>
    <row r="123" spans="1:4">
      <c r="A123" s="274" t="s">
        <v>1405</v>
      </c>
      <c r="B123" s="274" t="s">
        <v>1320</v>
      </c>
      <c r="C123" s="274" t="s">
        <v>1406</v>
      </c>
      <c r="D123" s="275" t="s">
        <v>2628</v>
      </c>
    </row>
    <row r="124" spans="1:4">
      <c r="A124" s="274" t="s">
        <v>973</v>
      </c>
      <c r="B124" s="274" t="s">
        <v>974</v>
      </c>
      <c r="C124" s="274" t="s">
        <v>975</v>
      </c>
      <c r="D124" s="275" t="s">
        <v>2628</v>
      </c>
    </row>
    <row r="125" spans="1:4">
      <c r="A125" s="274" t="s">
        <v>424</v>
      </c>
      <c r="B125" s="274" t="s">
        <v>425</v>
      </c>
      <c r="C125" s="274" t="s">
        <v>426</v>
      </c>
      <c r="D125" s="275" t="s">
        <v>2628</v>
      </c>
    </row>
    <row r="126" spans="1:4">
      <c r="A126" s="274" t="s">
        <v>1043</v>
      </c>
      <c r="B126" s="274" t="s">
        <v>1044</v>
      </c>
      <c r="C126" s="274" t="s">
        <v>1045</v>
      </c>
      <c r="D126" s="275" t="s">
        <v>2628</v>
      </c>
    </row>
    <row r="127" spans="1:4">
      <c r="A127" s="274" t="s">
        <v>287</v>
      </c>
      <c r="B127" s="274" t="s">
        <v>288</v>
      </c>
      <c r="C127" s="274" t="s">
        <v>289</v>
      </c>
      <c r="D127" s="275" t="s">
        <v>2628</v>
      </c>
    </row>
    <row r="128" spans="1:4">
      <c r="A128" s="274" t="s">
        <v>1565</v>
      </c>
      <c r="B128" s="274" t="s">
        <v>1566</v>
      </c>
      <c r="C128" s="274" t="s">
        <v>1567</v>
      </c>
      <c r="D128" s="275" t="s">
        <v>94</v>
      </c>
    </row>
    <row r="129" spans="1:4">
      <c r="A129" s="274" t="s">
        <v>1931</v>
      </c>
      <c r="B129" s="274" t="s">
        <v>1932</v>
      </c>
      <c r="C129" s="274" t="s">
        <v>1933</v>
      </c>
      <c r="D129" s="275" t="s">
        <v>94</v>
      </c>
    </row>
    <row r="130" spans="1:4">
      <c r="A130" s="274" t="s">
        <v>2172</v>
      </c>
      <c r="B130" s="274" t="s">
        <v>2173</v>
      </c>
      <c r="C130" s="274" t="s">
        <v>2174</v>
      </c>
      <c r="D130" s="275" t="s">
        <v>94</v>
      </c>
    </row>
    <row r="131" spans="1:4">
      <c r="A131" s="274" t="s">
        <v>863</v>
      </c>
      <c r="B131" s="274" t="s">
        <v>864</v>
      </c>
      <c r="C131" s="274" t="s">
        <v>865</v>
      </c>
      <c r="D131" s="275" t="s">
        <v>2640</v>
      </c>
    </row>
    <row r="132" spans="1:4">
      <c r="A132" s="274" t="s">
        <v>1259</v>
      </c>
      <c r="B132" s="274" t="s">
        <v>1260</v>
      </c>
      <c r="C132" s="274" t="s">
        <v>1261</v>
      </c>
      <c r="D132" s="275" t="s">
        <v>2640</v>
      </c>
    </row>
    <row r="133" spans="1:4">
      <c r="A133" s="274" t="s">
        <v>825</v>
      </c>
      <c r="B133" s="274" t="s">
        <v>826</v>
      </c>
      <c r="C133" s="274" t="s">
        <v>827</v>
      </c>
      <c r="D133" s="275" t="s">
        <v>2640</v>
      </c>
    </row>
    <row r="134" spans="1:4">
      <c r="A134" s="274" t="s">
        <v>1977</v>
      </c>
      <c r="B134" s="274" t="s">
        <v>826</v>
      </c>
      <c r="C134" s="274" t="s">
        <v>1978</v>
      </c>
      <c r="D134" s="275" t="s">
        <v>2640</v>
      </c>
    </row>
    <row r="135" spans="1:4">
      <c r="A135" s="274" t="s">
        <v>1840</v>
      </c>
      <c r="B135" s="274" t="s">
        <v>1841</v>
      </c>
      <c r="C135" s="274" t="s">
        <v>1842</v>
      </c>
      <c r="D135" s="275" t="s">
        <v>2640</v>
      </c>
    </row>
    <row r="136" spans="1:4">
      <c r="A136" s="274" t="s">
        <v>562</v>
      </c>
      <c r="B136" s="274" t="s">
        <v>563</v>
      </c>
      <c r="C136" s="274" t="s">
        <v>564</v>
      </c>
      <c r="D136" s="275" t="s">
        <v>2636</v>
      </c>
    </row>
    <row r="137" spans="1:4">
      <c r="A137" s="274" t="s">
        <v>1458</v>
      </c>
      <c r="B137" s="274" t="s">
        <v>1459</v>
      </c>
      <c r="C137" s="274" t="s">
        <v>1460</v>
      </c>
      <c r="D137" s="275" t="s">
        <v>2636</v>
      </c>
    </row>
    <row r="138" spans="1:4">
      <c r="A138" s="274" t="s">
        <v>454</v>
      </c>
      <c r="B138" s="274" t="s">
        <v>455</v>
      </c>
      <c r="C138" s="274" t="s">
        <v>456</v>
      </c>
      <c r="D138" s="275" t="s">
        <v>2636</v>
      </c>
    </row>
    <row r="139" spans="1:4">
      <c r="A139" s="274" t="s">
        <v>2217</v>
      </c>
      <c r="B139" s="274" t="s">
        <v>2218</v>
      </c>
      <c r="C139" s="274" t="s">
        <v>2219</v>
      </c>
      <c r="D139" s="275" t="s">
        <v>2636</v>
      </c>
    </row>
    <row r="140" spans="1:4">
      <c r="A140" s="274" t="s">
        <v>772</v>
      </c>
      <c r="B140" s="274" t="s">
        <v>773</v>
      </c>
      <c r="C140" s="274" t="s">
        <v>774</v>
      </c>
      <c r="D140" s="275" t="s">
        <v>2636</v>
      </c>
    </row>
    <row r="141" spans="1:4">
      <c r="A141" s="274" t="s">
        <v>2104</v>
      </c>
      <c r="B141" s="274" t="s">
        <v>2105</v>
      </c>
      <c r="C141" s="274" t="s">
        <v>2106</v>
      </c>
      <c r="D141" s="275" t="s">
        <v>2636</v>
      </c>
    </row>
    <row r="142" spans="1:4">
      <c r="A142" s="274" t="s">
        <v>1032</v>
      </c>
      <c r="B142" s="274" t="s">
        <v>1033</v>
      </c>
      <c r="C142" s="274" t="s">
        <v>1034</v>
      </c>
      <c r="D142" s="275" t="s">
        <v>2636</v>
      </c>
    </row>
    <row r="143" spans="1:4">
      <c r="A143" s="274" t="s">
        <v>1018</v>
      </c>
      <c r="B143" s="274" t="s">
        <v>1019</v>
      </c>
      <c r="C143" s="274" t="s">
        <v>1020</v>
      </c>
      <c r="D143" s="275" t="s">
        <v>2636</v>
      </c>
    </row>
    <row r="144" spans="1:4">
      <c r="A144" s="274" t="s">
        <v>1957</v>
      </c>
      <c r="B144" s="274" t="s">
        <v>1958</v>
      </c>
      <c r="C144" s="274" t="s">
        <v>1959</v>
      </c>
      <c r="D144" s="275" t="s">
        <v>2636</v>
      </c>
    </row>
    <row r="145" spans="1:4">
      <c r="A145" s="274" t="s">
        <v>2394</v>
      </c>
      <c r="B145" s="274" t="s">
        <v>2395</v>
      </c>
      <c r="C145" s="274" t="s">
        <v>2396</v>
      </c>
      <c r="D145" s="275" t="s">
        <v>2636</v>
      </c>
    </row>
    <row r="146" spans="1:4">
      <c r="A146" s="274" t="s">
        <v>2068</v>
      </c>
      <c r="B146" s="274" t="s">
        <v>982</v>
      </c>
      <c r="C146" s="274" t="s">
        <v>2069</v>
      </c>
      <c r="D146" s="275" t="s">
        <v>2632</v>
      </c>
    </row>
    <row r="147" spans="1:4">
      <c r="A147" s="274" t="s">
        <v>838</v>
      </c>
      <c r="B147" s="274" t="s">
        <v>839</v>
      </c>
      <c r="C147" s="274" t="s">
        <v>840</v>
      </c>
      <c r="D147" s="275" t="s">
        <v>2632</v>
      </c>
    </row>
    <row r="148" spans="1:4">
      <c r="A148" s="274" t="s">
        <v>1795</v>
      </c>
      <c r="B148" s="274" t="s">
        <v>1796</v>
      </c>
      <c r="C148" s="274" t="s">
        <v>1797</v>
      </c>
      <c r="D148" s="275" t="s">
        <v>2632</v>
      </c>
    </row>
    <row r="149" spans="1:4">
      <c r="A149" s="274" t="s">
        <v>1119</v>
      </c>
      <c r="B149" s="274" t="s">
        <v>1120</v>
      </c>
      <c r="C149" s="274" t="s">
        <v>1121</v>
      </c>
      <c r="D149" s="275" t="s">
        <v>2632</v>
      </c>
    </row>
    <row r="150" spans="1:4">
      <c r="A150" s="274" t="s">
        <v>2258</v>
      </c>
      <c r="B150" s="274" t="s">
        <v>2259</v>
      </c>
      <c r="C150" s="274" t="s">
        <v>2260</v>
      </c>
      <c r="D150" s="275" t="s">
        <v>2632</v>
      </c>
    </row>
    <row r="151" spans="1:4">
      <c r="A151" s="274" t="s">
        <v>854</v>
      </c>
      <c r="B151" s="274" t="s">
        <v>855</v>
      </c>
      <c r="C151" s="274" t="s">
        <v>856</v>
      </c>
      <c r="D151" s="275" t="s">
        <v>2632</v>
      </c>
    </row>
    <row r="152" spans="1:4">
      <c r="A152" s="274" t="s">
        <v>1992</v>
      </c>
      <c r="B152" s="274" t="s">
        <v>982</v>
      </c>
      <c r="C152" s="274" t="s">
        <v>1993</v>
      </c>
      <c r="D152" s="275" t="s">
        <v>2631</v>
      </c>
    </row>
    <row r="153" spans="1:4">
      <c r="A153" s="274" t="s">
        <v>403</v>
      </c>
      <c r="B153" s="274" t="s">
        <v>404</v>
      </c>
      <c r="C153" s="274" t="s">
        <v>405</v>
      </c>
      <c r="D153" s="275" t="s">
        <v>2631</v>
      </c>
    </row>
    <row r="154" spans="1:4">
      <c r="A154" s="274" t="s">
        <v>299</v>
      </c>
      <c r="B154" s="274" t="s">
        <v>300</v>
      </c>
      <c r="C154" s="274" t="s">
        <v>301</v>
      </c>
      <c r="D154" s="275" t="s">
        <v>2631</v>
      </c>
    </row>
    <row r="155" spans="1:4">
      <c r="A155" s="274" t="s">
        <v>2005</v>
      </c>
      <c r="B155" s="274" t="s">
        <v>2006</v>
      </c>
      <c r="C155" s="274" t="s">
        <v>2007</v>
      </c>
      <c r="D155" s="275" t="s">
        <v>2631</v>
      </c>
    </row>
    <row r="156" spans="1:4">
      <c r="A156" s="274" t="s">
        <v>2112</v>
      </c>
      <c r="B156" s="274" t="s">
        <v>2113</v>
      </c>
      <c r="C156" s="274" t="s">
        <v>2114</v>
      </c>
      <c r="D156" s="275" t="s">
        <v>2631</v>
      </c>
    </row>
    <row r="157" spans="1:4">
      <c r="A157" s="274" t="s">
        <v>345</v>
      </c>
      <c r="B157" s="274" t="s">
        <v>346</v>
      </c>
      <c r="C157" s="274" t="s">
        <v>347</v>
      </c>
      <c r="D157" s="275" t="s">
        <v>2631</v>
      </c>
    </row>
    <row r="158" spans="1:4">
      <c r="A158" s="274" t="s">
        <v>2540</v>
      </c>
      <c r="B158" s="274" t="s">
        <v>2541</v>
      </c>
      <c r="C158" s="274" t="s">
        <v>2542</v>
      </c>
      <c r="D158" s="275" t="s">
        <v>2631</v>
      </c>
    </row>
    <row r="159" spans="1:4">
      <c r="A159" s="274" t="s">
        <v>1948</v>
      </c>
      <c r="B159" s="274" t="s">
        <v>1949</v>
      </c>
      <c r="C159" s="274" t="s">
        <v>1950</v>
      </c>
      <c r="D159" s="275" t="s">
        <v>2631</v>
      </c>
    </row>
    <row r="160" spans="1:4">
      <c r="A160" s="274" t="s">
        <v>1002</v>
      </c>
      <c r="B160" s="274" t="s">
        <v>1003</v>
      </c>
      <c r="C160" s="274" t="s">
        <v>1004</v>
      </c>
      <c r="D160" s="275" t="s">
        <v>2631</v>
      </c>
    </row>
    <row r="161" spans="1:4">
      <c r="A161" s="274" t="s">
        <v>1106</v>
      </c>
      <c r="B161" s="274" t="s">
        <v>1107</v>
      </c>
      <c r="C161" s="274" t="s">
        <v>1108</v>
      </c>
      <c r="D161" s="275" t="s">
        <v>2631</v>
      </c>
    </row>
    <row r="162" spans="1:4">
      <c r="A162" s="274" t="s">
        <v>844</v>
      </c>
      <c r="B162" s="274" t="s">
        <v>845</v>
      </c>
      <c r="C162" s="274" t="s">
        <v>846</v>
      </c>
      <c r="D162" s="275" t="s">
        <v>2631</v>
      </c>
    </row>
    <row r="163" spans="1:4">
      <c r="A163" s="274" t="s">
        <v>1103</v>
      </c>
      <c r="B163" s="274" t="s">
        <v>1104</v>
      </c>
      <c r="C163" s="274" t="s">
        <v>1105</v>
      </c>
      <c r="D163" s="275" t="s">
        <v>2631</v>
      </c>
    </row>
    <row r="164" spans="1:4">
      <c r="A164" s="274" t="s">
        <v>1631</v>
      </c>
      <c r="B164" s="274" t="s">
        <v>1632</v>
      </c>
      <c r="C164" s="274" t="s">
        <v>1633</v>
      </c>
      <c r="D164" s="275" t="s">
        <v>2631</v>
      </c>
    </row>
    <row r="165" spans="1:4">
      <c r="A165" s="274" t="s">
        <v>630</v>
      </c>
      <c r="B165" s="274" t="s">
        <v>631</v>
      </c>
      <c r="C165" s="274" t="s">
        <v>632</v>
      </c>
      <c r="D165" s="275" t="s">
        <v>2631</v>
      </c>
    </row>
    <row r="166" spans="1:4">
      <c r="A166" s="274" t="s">
        <v>1586</v>
      </c>
      <c r="B166" s="274" t="s">
        <v>631</v>
      </c>
      <c r="C166" s="274" t="s">
        <v>1587</v>
      </c>
      <c r="D166" s="275" t="s">
        <v>2631</v>
      </c>
    </row>
    <row r="167" spans="1:4">
      <c r="A167" s="274" t="s">
        <v>2521</v>
      </c>
      <c r="B167" s="274" t="s">
        <v>2522</v>
      </c>
      <c r="C167" s="274" t="s">
        <v>2523</v>
      </c>
      <c r="D167" s="275" t="s">
        <v>2631</v>
      </c>
    </row>
    <row r="168" spans="1:4">
      <c r="A168" s="274" t="s">
        <v>361</v>
      </c>
      <c r="B168" s="274" t="s">
        <v>362</v>
      </c>
      <c r="C168" s="274" t="s">
        <v>363</v>
      </c>
      <c r="D168" s="275" t="s">
        <v>2631</v>
      </c>
    </row>
    <row r="169" spans="1:4">
      <c r="A169" s="274" t="s">
        <v>1515</v>
      </c>
      <c r="B169" s="274" t="s">
        <v>1388</v>
      </c>
      <c r="C169" s="274" t="s">
        <v>1516</v>
      </c>
      <c r="D169" s="275" t="s">
        <v>2631</v>
      </c>
    </row>
    <row r="170" spans="1:4">
      <c r="A170" s="274" t="s">
        <v>1974</v>
      </c>
      <c r="B170" s="274" t="s">
        <v>1975</v>
      </c>
      <c r="C170" s="274" t="s">
        <v>1976</v>
      </c>
      <c r="D170" s="275" t="s">
        <v>2639</v>
      </c>
    </row>
    <row r="171" spans="1:4">
      <c r="A171" s="274" t="s">
        <v>1007</v>
      </c>
      <c r="B171" s="274" t="s">
        <v>1008</v>
      </c>
      <c r="C171" s="274" t="s">
        <v>1009</v>
      </c>
      <c r="D171" s="275" t="s">
        <v>2639</v>
      </c>
    </row>
    <row r="172" spans="1:4">
      <c r="A172" s="274" t="s">
        <v>311</v>
      </c>
      <c r="B172" s="274" t="s">
        <v>312</v>
      </c>
      <c r="C172" s="274" t="s">
        <v>313</v>
      </c>
      <c r="D172" s="275" t="s">
        <v>2639</v>
      </c>
    </row>
    <row r="173" spans="1:4">
      <c r="A173" s="274" t="s">
        <v>1215</v>
      </c>
      <c r="B173" s="274" t="s">
        <v>1201</v>
      </c>
      <c r="C173" s="274" t="s">
        <v>1216</v>
      </c>
      <c r="D173" s="275" t="s">
        <v>113</v>
      </c>
    </row>
    <row r="174" spans="1:4">
      <c r="A174" s="274" t="s">
        <v>1200</v>
      </c>
      <c r="B174" s="274" t="s">
        <v>1201</v>
      </c>
      <c r="C174" s="274" t="s">
        <v>1202</v>
      </c>
      <c r="D174" s="275" t="s">
        <v>113</v>
      </c>
    </row>
    <row r="175" spans="1:4">
      <c r="A175" s="274" t="s">
        <v>1205</v>
      </c>
      <c r="B175" s="274" t="s">
        <v>1201</v>
      </c>
      <c r="C175" s="274" t="s">
        <v>1206</v>
      </c>
      <c r="D175" s="275" t="s">
        <v>113</v>
      </c>
    </row>
    <row r="176" spans="1:4">
      <c r="A176" s="274" t="s">
        <v>1212</v>
      </c>
      <c r="B176" s="274" t="s">
        <v>1201</v>
      </c>
      <c r="C176" s="274" t="s">
        <v>1213</v>
      </c>
      <c r="D176" s="275" t="s">
        <v>113</v>
      </c>
    </row>
    <row r="177" spans="1:4">
      <c r="A177" s="274" t="s">
        <v>1401</v>
      </c>
      <c r="B177" s="274" t="s">
        <v>1402</v>
      </c>
      <c r="C177" s="274" t="s">
        <v>1403</v>
      </c>
      <c r="D177" s="275" t="s">
        <v>113</v>
      </c>
    </row>
    <row r="178" spans="1:4">
      <c r="A178" s="274" t="s">
        <v>1517</v>
      </c>
      <c r="B178" s="274" t="s">
        <v>1518</v>
      </c>
      <c r="C178" s="274" t="s">
        <v>1519</v>
      </c>
      <c r="D178" s="275" t="s">
        <v>113</v>
      </c>
    </row>
    <row r="179" spans="1:4">
      <c r="A179" s="274" t="s">
        <v>703</v>
      </c>
      <c r="B179" s="274" t="s">
        <v>704</v>
      </c>
      <c r="C179" s="274" t="s">
        <v>705</v>
      </c>
      <c r="D179" s="275" t="s">
        <v>113</v>
      </c>
    </row>
    <row r="180" spans="1:4">
      <c r="A180" s="274" t="s">
        <v>1761</v>
      </c>
      <c r="B180" s="274" t="s">
        <v>1762</v>
      </c>
      <c r="C180" s="274" t="s">
        <v>1763</v>
      </c>
      <c r="D180" s="275" t="s">
        <v>113</v>
      </c>
    </row>
    <row r="181" spans="1:4">
      <c r="A181" s="274" t="s">
        <v>1180</v>
      </c>
      <c r="B181" s="274" t="s">
        <v>1181</v>
      </c>
      <c r="C181" s="274" t="s">
        <v>1182</v>
      </c>
      <c r="D181" s="275" t="s">
        <v>113</v>
      </c>
    </row>
    <row r="182" spans="1:4">
      <c r="A182" s="274" t="s">
        <v>1476</v>
      </c>
      <c r="B182" s="274" t="s">
        <v>1477</v>
      </c>
      <c r="C182" s="274" t="s">
        <v>1478</v>
      </c>
      <c r="D182" s="275" t="s">
        <v>113</v>
      </c>
    </row>
    <row r="183" spans="1:4">
      <c r="A183" s="274" t="s">
        <v>1133</v>
      </c>
      <c r="B183" s="274" t="s">
        <v>1134</v>
      </c>
      <c r="C183" s="274" t="s">
        <v>1135</v>
      </c>
      <c r="D183" s="275" t="s">
        <v>113</v>
      </c>
    </row>
    <row r="184" spans="1:4">
      <c r="A184" s="274" t="s">
        <v>1943</v>
      </c>
      <c r="B184" s="274" t="s">
        <v>1944</v>
      </c>
      <c r="C184" s="274" t="s">
        <v>1945</v>
      </c>
      <c r="D184" s="275" t="s">
        <v>113</v>
      </c>
    </row>
    <row r="185" spans="1:4">
      <c r="A185" s="274" t="s">
        <v>577</v>
      </c>
      <c r="B185" s="274" t="s">
        <v>578</v>
      </c>
      <c r="C185" s="274" t="s">
        <v>579</v>
      </c>
      <c r="D185" s="275" t="s">
        <v>113</v>
      </c>
    </row>
    <row r="186" spans="1:4">
      <c r="A186" s="274" t="s">
        <v>2439</v>
      </c>
      <c r="B186" s="274" t="s">
        <v>2440</v>
      </c>
      <c r="C186" s="274" t="s">
        <v>2441</v>
      </c>
      <c r="D186" s="275" t="s">
        <v>113</v>
      </c>
    </row>
    <row r="187" spans="1:4">
      <c r="A187" s="274" t="s">
        <v>1650</v>
      </c>
      <c r="B187" s="274" t="s">
        <v>1651</v>
      </c>
      <c r="C187" s="274" t="s">
        <v>1652</v>
      </c>
      <c r="D187" s="275" t="s">
        <v>113</v>
      </c>
    </row>
    <row r="188" spans="1:4">
      <c r="A188" s="274" t="s">
        <v>1895</v>
      </c>
      <c r="B188" s="274" t="s">
        <v>558</v>
      </c>
      <c r="C188" s="274" t="s">
        <v>1896</v>
      </c>
      <c r="D188" s="275" t="s">
        <v>113</v>
      </c>
    </row>
    <row r="189" spans="1:4">
      <c r="A189" s="274" t="s">
        <v>557</v>
      </c>
      <c r="B189" s="274" t="s">
        <v>558</v>
      </c>
      <c r="C189" s="274" t="s">
        <v>559</v>
      </c>
      <c r="D189" s="275" t="s">
        <v>113</v>
      </c>
    </row>
    <row r="190" spans="1:4">
      <c r="A190" s="274" t="s">
        <v>1701</v>
      </c>
      <c r="B190" s="274" t="s">
        <v>859</v>
      </c>
      <c r="C190" s="274" t="s">
        <v>1702</v>
      </c>
      <c r="D190" s="275" t="s">
        <v>113</v>
      </c>
    </row>
    <row r="191" spans="1:4">
      <c r="A191" s="274" t="s">
        <v>858</v>
      </c>
      <c r="B191" s="274" t="s">
        <v>859</v>
      </c>
      <c r="C191" s="274" t="s">
        <v>860</v>
      </c>
      <c r="D191" s="275" t="s">
        <v>113</v>
      </c>
    </row>
    <row r="192" spans="1:4">
      <c r="A192" s="274" t="s">
        <v>1384</v>
      </c>
      <c r="B192" s="274" t="s">
        <v>859</v>
      </c>
      <c r="C192" s="274" t="s">
        <v>1385</v>
      </c>
      <c r="D192" s="275" t="s">
        <v>113</v>
      </c>
    </row>
    <row r="193" spans="1:4">
      <c r="A193" s="274" t="s">
        <v>820</v>
      </c>
      <c r="B193" s="274" t="s">
        <v>821</v>
      </c>
      <c r="C193" s="274" t="s">
        <v>822</v>
      </c>
      <c r="D193" s="275" t="s">
        <v>113</v>
      </c>
    </row>
    <row r="194" spans="1:4">
      <c r="A194" s="274" t="s">
        <v>1367</v>
      </c>
      <c r="B194" s="274" t="s">
        <v>821</v>
      </c>
      <c r="C194" s="274" t="s">
        <v>1368</v>
      </c>
      <c r="D194" s="275" t="s">
        <v>113</v>
      </c>
    </row>
    <row r="195" spans="1:4">
      <c r="A195" s="274" t="s">
        <v>2414</v>
      </c>
      <c r="B195" s="274" t="s">
        <v>821</v>
      </c>
      <c r="C195" s="274" t="s">
        <v>2415</v>
      </c>
      <c r="D195" s="275" t="s">
        <v>113</v>
      </c>
    </row>
    <row r="196" spans="1:4">
      <c r="A196" s="274" t="s">
        <v>1304</v>
      </c>
      <c r="B196" s="274" t="s">
        <v>1305</v>
      </c>
      <c r="C196" s="274" t="s">
        <v>1306</v>
      </c>
      <c r="D196" s="275" t="s">
        <v>113</v>
      </c>
    </row>
    <row r="197" spans="1:4">
      <c r="A197" s="274" t="s">
        <v>1521</v>
      </c>
      <c r="B197" s="274" t="s">
        <v>1522</v>
      </c>
      <c r="C197" s="274" t="s">
        <v>1523</v>
      </c>
      <c r="D197" s="275" t="s">
        <v>113</v>
      </c>
    </row>
    <row r="198" spans="1:4">
      <c r="A198" s="274" t="s">
        <v>1353</v>
      </c>
      <c r="B198" s="274" t="s">
        <v>1354</v>
      </c>
      <c r="C198" s="274" t="s">
        <v>1355</v>
      </c>
      <c r="D198" s="275" t="s">
        <v>113</v>
      </c>
    </row>
    <row r="199" spans="1:4">
      <c r="A199" s="274" t="s">
        <v>2267</v>
      </c>
      <c r="B199" s="274" t="s">
        <v>802</v>
      </c>
      <c r="C199" s="274" t="s">
        <v>2268</v>
      </c>
      <c r="D199" s="275" t="s">
        <v>113</v>
      </c>
    </row>
    <row r="200" spans="1:4">
      <c r="A200" s="274" t="s">
        <v>801</v>
      </c>
      <c r="B200" s="274" t="s">
        <v>802</v>
      </c>
      <c r="C200" s="274" t="s">
        <v>803</v>
      </c>
      <c r="D200" s="275" t="s">
        <v>113</v>
      </c>
    </row>
    <row r="201" spans="1:4">
      <c r="A201" s="274" t="s">
        <v>582</v>
      </c>
      <c r="B201" s="274" t="s">
        <v>583</v>
      </c>
      <c r="C201" s="274" t="s">
        <v>584</v>
      </c>
      <c r="D201" s="275" t="s">
        <v>113</v>
      </c>
    </row>
    <row r="202" spans="1:4">
      <c r="A202" s="274" t="s">
        <v>414</v>
      </c>
      <c r="B202" s="274" t="s">
        <v>415</v>
      </c>
      <c r="C202" s="274" t="s">
        <v>416</v>
      </c>
      <c r="D202" s="275" t="s">
        <v>113</v>
      </c>
    </row>
    <row r="203" spans="1:4">
      <c r="A203" s="274" t="s">
        <v>552</v>
      </c>
      <c r="B203" s="274" t="s">
        <v>553</v>
      </c>
      <c r="C203" s="274" t="s">
        <v>554</v>
      </c>
      <c r="D203" s="275" t="s">
        <v>113</v>
      </c>
    </row>
    <row r="204" spans="1:4">
      <c r="A204" s="274" t="s">
        <v>1811</v>
      </c>
      <c r="B204" s="274" t="s">
        <v>1301</v>
      </c>
      <c r="C204" s="274" t="s">
        <v>1812</v>
      </c>
      <c r="D204" s="275" t="s">
        <v>113</v>
      </c>
    </row>
    <row r="205" spans="1:4">
      <c r="A205" s="274" t="s">
        <v>1814</v>
      </c>
      <c r="B205" s="274" t="s">
        <v>1301</v>
      </c>
      <c r="C205" s="274" t="s">
        <v>1815</v>
      </c>
      <c r="D205" s="275" t="s">
        <v>113</v>
      </c>
    </row>
    <row r="206" spans="1:4">
      <c r="A206" s="274" t="s">
        <v>1300</v>
      </c>
      <c r="B206" s="274" t="s">
        <v>1301</v>
      </c>
      <c r="C206" s="274" t="s">
        <v>1302</v>
      </c>
      <c r="D206" s="275" t="s">
        <v>113</v>
      </c>
    </row>
    <row r="207" spans="1:4">
      <c r="A207" s="274" t="s">
        <v>1862</v>
      </c>
      <c r="B207" s="274" t="s">
        <v>1863</v>
      </c>
      <c r="C207" s="274" t="s">
        <v>1864</v>
      </c>
      <c r="D207" s="275" t="s">
        <v>113</v>
      </c>
    </row>
    <row r="208" spans="1:4">
      <c r="A208" s="274" t="s">
        <v>791</v>
      </c>
      <c r="B208" s="274" t="s">
        <v>792</v>
      </c>
      <c r="C208" s="274" t="s">
        <v>793</v>
      </c>
      <c r="D208" s="275" t="s">
        <v>113</v>
      </c>
    </row>
    <row r="209" spans="1:4">
      <c r="A209" s="274" t="s">
        <v>592</v>
      </c>
      <c r="B209" s="274" t="s">
        <v>593</v>
      </c>
      <c r="C209" s="274" t="s">
        <v>594</v>
      </c>
      <c r="D209" s="275" t="s">
        <v>113</v>
      </c>
    </row>
    <row r="210" spans="1:4">
      <c r="A210" s="274" t="s">
        <v>1854</v>
      </c>
      <c r="B210" s="274" t="s">
        <v>1855</v>
      </c>
      <c r="C210" s="274" t="s">
        <v>1856</v>
      </c>
      <c r="D210" s="275" t="s">
        <v>113</v>
      </c>
    </row>
    <row r="211" spans="1:4">
      <c r="A211" s="274" t="s">
        <v>2326</v>
      </c>
      <c r="B211" s="274" t="s">
        <v>2303</v>
      </c>
      <c r="C211" s="274" t="s">
        <v>2327</v>
      </c>
      <c r="D211" s="275" t="s">
        <v>113</v>
      </c>
    </row>
    <row r="212" spans="1:4">
      <c r="A212" s="274" t="s">
        <v>2302</v>
      </c>
      <c r="B212" s="274" t="s">
        <v>2303</v>
      </c>
      <c r="C212" s="274" t="s">
        <v>2304</v>
      </c>
      <c r="D212" s="275" t="s">
        <v>113</v>
      </c>
    </row>
    <row r="213" spans="1:4">
      <c r="A213" s="274" t="s">
        <v>2305</v>
      </c>
      <c r="B213" s="274" t="s">
        <v>2303</v>
      </c>
      <c r="C213" s="274" t="s">
        <v>2306</v>
      </c>
      <c r="D213" s="275" t="s">
        <v>113</v>
      </c>
    </row>
    <row r="214" spans="1:4">
      <c r="A214" s="274" t="s">
        <v>2391</v>
      </c>
      <c r="B214" s="274" t="s">
        <v>2392</v>
      </c>
      <c r="C214" s="274" t="s">
        <v>2393</v>
      </c>
      <c r="D214" s="275" t="s">
        <v>113</v>
      </c>
    </row>
    <row r="215" spans="1:4">
      <c r="A215" s="274" t="s">
        <v>1480</v>
      </c>
      <c r="B215" s="274" t="s">
        <v>1481</v>
      </c>
      <c r="C215" s="274" t="s">
        <v>1482</v>
      </c>
      <c r="D215" s="275" t="s">
        <v>113</v>
      </c>
    </row>
    <row r="216" spans="1:4">
      <c r="A216" s="274" t="s">
        <v>867</v>
      </c>
      <c r="B216" s="274" t="s">
        <v>868</v>
      </c>
      <c r="C216" s="274" t="s">
        <v>869</v>
      </c>
      <c r="D216" s="275" t="s">
        <v>113</v>
      </c>
    </row>
    <row r="217" spans="1:4">
      <c r="A217" s="274" t="s">
        <v>2422</v>
      </c>
      <c r="B217" s="274" t="s">
        <v>2423</v>
      </c>
      <c r="C217" s="274" t="s">
        <v>2424</v>
      </c>
      <c r="D217" s="275" t="s">
        <v>113</v>
      </c>
    </row>
    <row r="218" spans="1:4">
      <c r="A218" s="274" t="s">
        <v>694</v>
      </c>
      <c r="B218" s="274" t="s">
        <v>695</v>
      </c>
      <c r="C218" s="274" t="s">
        <v>696</v>
      </c>
      <c r="D218" s="275" t="s">
        <v>113</v>
      </c>
    </row>
    <row r="219" spans="1:4">
      <c r="A219" s="274" t="s">
        <v>699</v>
      </c>
      <c r="B219" s="274" t="s">
        <v>695</v>
      </c>
      <c r="C219" s="274" t="s">
        <v>700</v>
      </c>
      <c r="D219" s="275" t="s">
        <v>113</v>
      </c>
    </row>
    <row r="220" spans="1:4">
      <c r="A220" s="274" t="s">
        <v>640</v>
      </c>
      <c r="B220" s="274" t="s">
        <v>641</v>
      </c>
      <c r="C220" s="274" t="s">
        <v>642</v>
      </c>
      <c r="D220" s="275" t="s">
        <v>113</v>
      </c>
    </row>
    <row r="221" spans="1:4">
      <c r="A221" s="274" t="s">
        <v>392</v>
      </c>
      <c r="B221" s="274" t="s">
        <v>393</v>
      </c>
      <c r="C221" s="274" t="s">
        <v>394</v>
      </c>
      <c r="D221" s="275" t="s">
        <v>113</v>
      </c>
    </row>
    <row r="222" spans="1:4">
      <c r="A222" s="274" t="s">
        <v>1242</v>
      </c>
      <c r="B222" s="274" t="s">
        <v>1243</v>
      </c>
      <c r="C222" s="274" t="s">
        <v>1244</v>
      </c>
      <c r="D222" s="275" t="s">
        <v>113</v>
      </c>
    </row>
    <row r="223" spans="1:4">
      <c r="A223" s="274" t="s">
        <v>2203</v>
      </c>
      <c r="B223" s="274" t="s">
        <v>2204</v>
      </c>
      <c r="C223" s="274" t="s">
        <v>2205</v>
      </c>
      <c r="D223" s="275" t="s">
        <v>113</v>
      </c>
    </row>
    <row r="224" spans="1:4">
      <c r="A224" s="274" t="s">
        <v>1935</v>
      </c>
      <c r="B224" s="274" t="s">
        <v>947</v>
      </c>
      <c r="C224" s="274" t="s">
        <v>1936</v>
      </c>
      <c r="D224" s="275" t="s">
        <v>113</v>
      </c>
    </row>
    <row r="225" spans="1:4">
      <c r="A225" s="274" t="s">
        <v>2134</v>
      </c>
      <c r="B225" s="274" t="s">
        <v>2135</v>
      </c>
      <c r="C225" s="274" t="s">
        <v>2136</v>
      </c>
      <c r="D225" s="275" t="s">
        <v>113</v>
      </c>
    </row>
    <row r="226" spans="1:4">
      <c r="A226" s="274" t="s">
        <v>1686</v>
      </c>
      <c r="B226" s="274" t="s">
        <v>1687</v>
      </c>
      <c r="C226" s="274" t="s">
        <v>1688</v>
      </c>
      <c r="D226" s="275" t="s">
        <v>113</v>
      </c>
    </row>
    <row r="227" spans="1:4">
      <c r="A227" s="274" t="s">
        <v>2243</v>
      </c>
      <c r="B227" s="274" t="s">
        <v>1687</v>
      </c>
      <c r="C227" s="274" t="s">
        <v>2244</v>
      </c>
      <c r="D227" s="275" t="s">
        <v>113</v>
      </c>
    </row>
    <row r="228" spans="1:4">
      <c r="A228" s="274" t="s">
        <v>2009</v>
      </c>
      <c r="B228" s="274" t="s">
        <v>2010</v>
      </c>
      <c r="C228" s="274" t="s">
        <v>2011</v>
      </c>
      <c r="D228" s="275" t="s">
        <v>113</v>
      </c>
    </row>
    <row r="229" spans="1:4">
      <c r="A229" s="274" t="s">
        <v>644</v>
      </c>
      <c r="B229" s="274" t="s">
        <v>645</v>
      </c>
      <c r="C229" s="274" t="s">
        <v>646</v>
      </c>
      <c r="D229" s="275" t="s">
        <v>113</v>
      </c>
    </row>
    <row r="230" spans="1:4">
      <c r="A230" s="274" t="s">
        <v>622</v>
      </c>
      <c r="B230" s="274" t="s">
        <v>623</v>
      </c>
      <c r="C230" s="274" t="s">
        <v>624</v>
      </c>
      <c r="D230" s="275" t="s">
        <v>113</v>
      </c>
    </row>
    <row r="231" spans="1:4">
      <c r="A231" s="274" t="s">
        <v>1446</v>
      </c>
      <c r="B231" s="274" t="s">
        <v>1447</v>
      </c>
      <c r="C231" s="274" t="s">
        <v>1448</v>
      </c>
      <c r="D231" s="275" t="s">
        <v>113</v>
      </c>
    </row>
    <row r="232" spans="1:4">
      <c r="A232" s="274" t="s">
        <v>1471</v>
      </c>
      <c r="B232" s="274" t="s">
        <v>1472</v>
      </c>
      <c r="C232" s="274" t="s">
        <v>1473</v>
      </c>
      <c r="D232" s="275" t="s">
        <v>113</v>
      </c>
    </row>
    <row r="233" spans="1:4">
      <c r="A233" s="274" t="s">
        <v>1867</v>
      </c>
      <c r="B233" s="274" t="s">
        <v>1868</v>
      </c>
      <c r="C233" s="274" t="s">
        <v>1869</v>
      </c>
      <c r="D233" s="275" t="s">
        <v>113</v>
      </c>
    </row>
    <row r="234" spans="1:4">
      <c r="A234" s="274" t="s">
        <v>2430</v>
      </c>
      <c r="B234" s="274" t="s">
        <v>2431</v>
      </c>
      <c r="C234" s="274" t="s">
        <v>2432</v>
      </c>
      <c r="D234" s="275" t="s">
        <v>113</v>
      </c>
    </row>
    <row r="235" spans="1:4">
      <c r="A235" s="274" t="s">
        <v>2235</v>
      </c>
      <c r="B235" s="274" t="s">
        <v>2236</v>
      </c>
      <c r="C235" s="274" t="s">
        <v>2237</v>
      </c>
      <c r="D235" s="275" t="s">
        <v>113</v>
      </c>
    </row>
    <row r="236" spans="1:4">
      <c r="A236" s="274" t="s">
        <v>1209</v>
      </c>
      <c r="B236" s="274" t="s">
        <v>1210</v>
      </c>
      <c r="C236" s="274" t="s">
        <v>1211</v>
      </c>
      <c r="D236" s="275" t="s">
        <v>113</v>
      </c>
    </row>
    <row r="237" spans="1:4">
      <c r="A237" s="274" t="s">
        <v>377</v>
      </c>
      <c r="B237" s="274" t="s">
        <v>334</v>
      </c>
      <c r="C237" s="274" t="s">
        <v>378</v>
      </c>
      <c r="D237" s="275" t="s">
        <v>113</v>
      </c>
    </row>
    <row r="238" spans="1:4">
      <c r="A238" s="274" t="s">
        <v>333</v>
      </c>
      <c r="B238" s="274" t="s">
        <v>334</v>
      </c>
      <c r="C238" s="274" t="s">
        <v>335</v>
      </c>
      <c r="D238" s="275" t="s">
        <v>113</v>
      </c>
    </row>
    <row r="239" spans="1:4">
      <c r="A239" s="274" t="s">
        <v>1635</v>
      </c>
      <c r="B239" s="274" t="s">
        <v>334</v>
      </c>
      <c r="C239" s="274" t="s">
        <v>1636</v>
      </c>
      <c r="D239" s="275" t="s">
        <v>113</v>
      </c>
    </row>
    <row r="240" spans="1:4">
      <c r="A240" s="274" t="s">
        <v>1876</v>
      </c>
      <c r="B240" s="274" t="s">
        <v>1877</v>
      </c>
      <c r="C240" s="274" t="s">
        <v>1878</v>
      </c>
      <c r="D240" s="275" t="s">
        <v>113</v>
      </c>
    </row>
    <row r="241" spans="1:4">
      <c r="A241" s="274" t="s">
        <v>1886</v>
      </c>
      <c r="B241" s="274" t="s">
        <v>1887</v>
      </c>
      <c r="C241" s="274" t="s">
        <v>1888</v>
      </c>
      <c r="D241" s="275" t="s">
        <v>113</v>
      </c>
    </row>
    <row r="242" spans="1:4">
      <c r="A242" s="274" t="s">
        <v>2284</v>
      </c>
      <c r="B242" s="274" t="s">
        <v>2247</v>
      </c>
      <c r="C242" s="274" t="s">
        <v>2285</v>
      </c>
      <c r="D242" s="275" t="s">
        <v>113</v>
      </c>
    </row>
    <row r="243" spans="1:4">
      <c r="A243" s="274" t="s">
        <v>2246</v>
      </c>
      <c r="B243" s="274" t="s">
        <v>2247</v>
      </c>
      <c r="C243" s="274" t="s">
        <v>2248</v>
      </c>
      <c r="D243" s="275" t="s">
        <v>113</v>
      </c>
    </row>
    <row r="244" spans="1:4">
      <c r="A244" s="274" t="s">
        <v>2251</v>
      </c>
      <c r="B244" s="274" t="s">
        <v>2247</v>
      </c>
      <c r="C244" s="274" t="s">
        <v>2252</v>
      </c>
      <c r="D244" s="275" t="s">
        <v>113</v>
      </c>
    </row>
    <row r="245" spans="1:4">
      <c r="A245" s="274" t="s">
        <v>1836</v>
      </c>
      <c r="B245" s="274" t="s">
        <v>1828</v>
      </c>
      <c r="C245" s="274" t="s">
        <v>1837</v>
      </c>
      <c r="D245" s="275" t="s">
        <v>113</v>
      </c>
    </row>
    <row r="246" spans="1:4">
      <c r="A246" s="274" t="s">
        <v>1832</v>
      </c>
      <c r="B246" s="274" t="s">
        <v>1828</v>
      </c>
      <c r="C246" s="274" t="s">
        <v>1833</v>
      </c>
      <c r="D246" s="275" t="s">
        <v>113</v>
      </c>
    </row>
    <row r="247" spans="1:4">
      <c r="A247" s="274" t="s">
        <v>1827</v>
      </c>
      <c r="B247" s="274" t="s">
        <v>1828</v>
      </c>
      <c r="C247" s="274" t="s">
        <v>1829</v>
      </c>
      <c r="D247" s="275" t="s">
        <v>113</v>
      </c>
    </row>
    <row r="248" spans="1:4">
      <c r="A248" s="274" t="s">
        <v>1654</v>
      </c>
      <c r="B248" s="274" t="s">
        <v>1655</v>
      </c>
      <c r="C248" s="274" t="s">
        <v>1656</v>
      </c>
      <c r="D248" s="275" t="s">
        <v>113</v>
      </c>
    </row>
    <row r="249" spans="1:4">
      <c r="A249" s="274" t="s">
        <v>1264</v>
      </c>
      <c r="B249" s="274" t="s">
        <v>1265</v>
      </c>
      <c r="C249" s="274" t="s">
        <v>1266</v>
      </c>
      <c r="D249" s="275" t="s">
        <v>113</v>
      </c>
    </row>
    <row r="250" spans="1:4">
      <c r="A250" s="274" t="s">
        <v>1268</v>
      </c>
      <c r="B250" s="274" t="s">
        <v>1265</v>
      </c>
      <c r="C250" s="274" t="s">
        <v>1269</v>
      </c>
      <c r="D250" s="275" t="s">
        <v>113</v>
      </c>
    </row>
    <row r="251" spans="1:4">
      <c r="A251" s="274" t="s">
        <v>1339</v>
      </c>
      <c r="B251" s="274" t="s">
        <v>1340</v>
      </c>
      <c r="C251" s="274" t="s">
        <v>1341</v>
      </c>
      <c r="D251" s="275" t="s">
        <v>113</v>
      </c>
    </row>
    <row r="252" spans="1:4">
      <c r="A252" s="274" t="s">
        <v>2083</v>
      </c>
      <c r="B252" s="274" t="s">
        <v>1340</v>
      </c>
      <c r="C252" s="274" t="s">
        <v>2084</v>
      </c>
      <c r="D252" s="275" t="s">
        <v>113</v>
      </c>
    </row>
    <row r="253" spans="1:4">
      <c r="A253" s="274" t="s">
        <v>1754</v>
      </c>
      <c r="B253" s="274" t="s">
        <v>1755</v>
      </c>
      <c r="C253" s="274" t="s">
        <v>1756</v>
      </c>
      <c r="D253" s="275" t="s">
        <v>113</v>
      </c>
    </row>
    <row r="254" spans="1:4">
      <c r="A254" s="274" t="s">
        <v>2322</v>
      </c>
      <c r="B254" s="274" t="s">
        <v>2323</v>
      </c>
      <c r="C254" s="274" t="s">
        <v>2324</v>
      </c>
      <c r="D254" s="275" t="s">
        <v>113</v>
      </c>
    </row>
    <row r="255" spans="1:4">
      <c r="A255" s="274" t="s">
        <v>1219</v>
      </c>
      <c r="B255" s="274" t="s">
        <v>1220</v>
      </c>
      <c r="C255" s="274" t="s">
        <v>1221</v>
      </c>
      <c r="D255" s="275" t="s">
        <v>113</v>
      </c>
    </row>
    <row r="256" spans="1:4">
      <c r="A256" s="274" t="s">
        <v>2552</v>
      </c>
      <c r="B256" s="274" t="s">
        <v>2553</v>
      </c>
      <c r="C256" s="274" t="s">
        <v>2554</v>
      </c>
      <c r="D256" s="275" t="s">
        <v>113</v>
      </c>
    </row>
    <row r="257" spans="1:4">
      <c r="A257" s="274" t="s">
        <v>2330</v>
      </c>
      <c r="B257" s="274" t="s">
        <v>2331</v>
      </c>
      <c r="C257" s="274" t="s">
        <v>2332</v>
      </c>
      <c r="D257" s="275" t="s">
        <v>113</v>
      </c>
    </row>
    <row r="258" spans="1:4">
      <c r="A258" s="274" t="s">
        <v>1023</v>
      </c>
      <c r="B258" s="274" t="s">
        <v>1024</v>
      </c>
      <c r="C258" s="274" t="s">
        <v>1025</v>
      </c>
      <c r="D258" s="275" t="s">
        <v>113</v>
      </c>
    </row>
    <row r="259" spans="1:4">
      <c r="A259" s="274" t="s">
        <v>1152</v>
      </c>
      <c r="B259" s="274" t="s">
        <v>1153</v>
      </c>
      <c r="C259" s="274" t="s">
        <v>1154</v>
      </c>
      <c r="D259" s="275" t="s">
        <v>113</v>
      </c>
    </row>
    <row r="260" spans="1:4">
      <c r="A260" s="274" t="s">
        <v>597</v>
      </c>
      <c r="B260" s="274" t="s">
        <v>598</v>
      </c>
      <c r="C260" s="274" t="s">
        <v>599</v>
      </c>
      <c r="D260" s="275" t="s">
        <v>113</v>
      </c>
    </row>
    <row r="261" spans="1:4">
      <c r="A261" s="274" t="s">
        <v>1872</v>
      </c>
      <c r="B261" s="274" t="s">
        <v>1315</v>
      </c>
      <c r="C261" s="274" t="s">
        <v>1873</v>
      </c>
      <c r="D261" s="275" t="s">
        <v>113</v>
      </c>
    </row>
    <row r="262" spans="1:4">
      <c r="A262" s="274" t="s">
        <v>1314</v>
      </c>
      <c r="B262" s="274" t="s">
        <v>1315</v>
      </c>
      <c r="C262" s="274" t="s">
        <v>1316</v>
      </c>
      <c r="D262" s="275" t="s">
        <v>113</v>
      </c>
    </row>
    <row r="263" spans="1:4">
      <c r="A263" s="274" t="s">
        <v>1224</v>
      </c>
      <c r="B263" s="274" t="s">
        <v>1225</v>
      </c>
      <c r="C263" s="274" t="s">
        <v>1226</v>
      </c>
      <c r="D263" s="275" t="s">
        <v>113</v>
      </c>
    </row>
    <row r="264" spans="1:4">
      <c r="A264" s="274" t="s">
        <v>1229</v>
      </c>
      <c r="B264" s="274" t="s">
        <v>1225</v>
      </c>
      <c r="C264" s="274" t="s">
        <v>1230</v>
      </c>
      <c r="D264" s="275" t="s">
        <v>113</v>
      </c>
    </row>
    <row r="265" spans="1:4">
      <c r="A265" s="274" t="s">
        <v>1233</v>
      </c>
      <c r="B265" s="274" t="s">
        <v>1225</v>
      </c>
      <c r="C265" s="274" t="s">
        <v>1234</v>
      </c>
      <c r="D265" s="275" t="s">
        <v>113</v>
      </c>
    </row>
    <row r="266" spans="1:4">
      <c r="A266" s="274" t="s">
        <v>2138</v>
      </c>
      <c r="B266" s="274" t="s">
        <v>2139</v>
      </c>
      <c r="C266" s="274" t="s">
        <v>2140</v>
      </c>
      <c r="D266" s="275" t="s">
        <v>113</v>
      </c>
    </row>
    <row r="267" spans="1:4">
      <c r="A267" s="274" t="s">
        <v>747</v>
      </c>
      <c r="B267" s="274" t="s">
        <v>748</v>
      </c>
      <c r="C267" s="274" t="s">
        <v>749</v>
      </c>
      <c r="D267" s="275" t="s">
        <v>113</v>
      </c>
    </row>
    <row r="268" spans="1:4">
      <c r="A268" s="274" t="s">
        <v>2021</v>
      </c>
      <c r="B268" s="274" t="s">
        <v>873</v>
      </c>
      <c r="C268" s="274" t="s">
        <v>2022</v>
      </c>
      <c r="D268" s="275" t="s">
        <v>113</v>
      </c>
    </row>
    <row r="269" spans="1:4">
      <c r="A269" s="274" t="s">
        <v>872</v>
      </c>
      <c r="B269" s="274" t="s">
        <v>873</v>
      </c>
      <c r="C269" s="274" t="s">
        <v>874</v>
      </c>
      <c r="D269" s="275" t="s">
        <v>113</v>
      </c>
    </row>
    <row r="270" spans="1:4">
      <c r="A270" s="274" t="s">
        <v>269</v>
      </c>
      <c r="B270" s="274" t="s">
        <v>270</v>
      </c>
      <c r="C270" s="274" t="s">
        <v>271</v>
      </c>
      <c r="D270" s="275" t="s">
        <v>113</v>
      </c>
    </row>
    <row r="271" spans="1:4">
      <c r="A271" s="274" t="s">
        <v>277</v>
      </c>
      <c r="B271" s="274" t="s">
        <v>270</v>
      </c>
      <c r="C271" s="274" t="s">
        <v>278</v>
      </c>
      <c r="D271" s="275" t="s">
        <v>113</v>
      </c>
    </row>
    <row r="272" spans="1:4">
      <c r="A272" s="274" t="s">
        <v>2141</v>
      </c>
      <c r="B272" s="274" t="s">
        <v>2142</v>
      </c>
      <c r="C272" s="274" t="s">
        <v>2143</v>
      </c>
      <c r="D272" s="275" t="s">
        <v>113</v>
      </c>
    </row>
    <row r="273" spans="1:4">
      <c r="A273" s="274" t="s">
        <v>1100</v>
      </c>
      <c r="B273" s="274" t="s">
        <v>1101</v>
      </c>
      <c r="C273" s="274" t="s">
        <v>1102</v>
      </c>
      <c r="D273" s="275" t="s">
        <v>113</v>
      </c>
    </row>
    <row r="274" spans="1:4">
      <c r="A274" s="274" t="s">
        <v>2335</v>
      </c>
      <c r="B274" s="274" t="s">
        <v>714</v>
      </c>
      <c r="C274" s="274" t="s">
        <v>2336</v>
      </c>
      <c r="D274" s="275" t="s">
        <v>113</v>
      </c>
    </row>
    <row r="275" spans="1:4">
      <c r="A275" s="274" t="s">
        <v>713</v>
      </c>
      <c r="B275" s="274" t="s">
        <v>714</v>
      </c>
      <c r="C275" s="274" t="s">
        <v>715</v>
      </c>
      <c r="D275" s="275" t="s">
        <v>113</v>
      </c>
    </row>
    <row r="276" spans="1:4">
      <c r="A276" s="274" t="s">
        <v>817</v>
      </c>
      <c r="B276" s="274" t="s">
        <v>714</v>
      </c>
      <c r="C276" s="274" t="s">
        <v>818</v>
      </c>
      <c r="D276" s="275" t="s">
        <v>113</v>
      </c>
    </row>
    <row r="277" spans="1:4">
      <c r="A277" s="274" t="s">
        <v>1483</v>
      </c>
      <c r="B277" s="274" t="s">
        <v>783</v>
      </c>
      <c r="C277" s="274" t="s">
        <v>1484</v>
      </c>
      <c r="D277" s="275" t="s">
        <v>113</v>
      </c>
    </row>
    <row r="278" spans="1:4">
      <c r="A278" s="274" t="s">
        <v>782</v>
      </c>
      <c r="B278" s="274" t="s">
        <v>783</v>
      </c>
      <c r="C278" s="274" t="s">
        <v>784</v>
      </c>
      <c r="D278" s="275" t="s">
        <v>113</v>
      </c>
    </row>
    <row r="279" spans="1:4">
      <c r="A279" s="274" t="s">
        <v>1961</v>
      </c>
      <c r="B279" s="274" t="s">
        <v>1962</v>
      </c>
      <c r="C279" s="274" t="s">
        <v>1963</v>
      </c>
      <c r="D279" s="275" t="s">
        <v>113</v>
      </c>
    </row>
    <row r="280" spans="1:4">
      <c r="A280" s="274" t="s">
        <v>898</v>
      </c>
      <c r="B280" s="274" t="s">
        <v>899</v>
      </c>
      <c r="C280" s="274" t="s">
        <v>900</v>
      </c>
      <c r="D280" s="275" t="s">
        <v>113</v>
      </c>
    </row>
    <row r="281" spans="1:4">
      <c r="A281" s="274" t="s">
        <v>2152</v>
      </c>
      <c r="B281" s="274" t="s">
        <v>2153</v>
      </c>
      <c r="C281" s="274" t="s">
        <v>2154</v>
      </c>
      <c r="D281" s="275" t="s">
        <v>113</v>
      </c>
    </row>
    <row r="282" spans="1:4">
      <c r="A282" s="274" t="s">
        <v>1387</v>
      </c>
      <c r="B282" s="274" t="s">
        <v>1388</v>
      </c>
      <c r="C282" s="274" t="s">
        <v>1389</v>
      </c>
      <c r="D282" s="275" t="s">
        <v>113</v>
      </c>
    </row>
    <row r="283" spans="1:4">
      <c r="A283" s="274" t="s">
        <v>1450</v>
      </c>
      <c r="B283" s="274" t="s">
        <v>1388</v>
      </c>
      <c r="C283" s="274" t="s">
        <v>1451</v>
      </c>
      <c r="D283" s="275" t="s">
        <v>113</v>
      </c>
    </row>
    <row r="284" spans="1:4">
      <c r="A284" s="274" t="s">
        <v>732</v>
      </c>
      <c r="B284" s="274" t="s">
        <v>733</v>
      </c>
      <c r="C284" s="274" t="s">
        <v>734</v>
      </c>
      <c r="D284" s="275" t="s">
        <v>113</v>
      </c>
    </row>
    <row r="285" spans="1:4">
      <c r="A285" s="274" t="s">
        <v>2289</v>
      </c>
      <c r="B285" s="274" t="s">
        <v>2290</v>
      </c>
      <c r="C285" s="274" t="s">
        <v>2291</v>
      </c>
      <c r="D285" s="275" t="s">
        <v>113</v>
      </c>
    </row>
    <row r="286" spans="1:4">
      <c r="A286" s="274" t="s">
        <v>1648</v>
      </c>
      <c r="B286" s="274" t="s">
        <v>1606</v>
      </c>
      <c r="C286" s="274" t="s">
        <v>1649</v>
      </c>
      <c r="D286" s="275" t="s">
        <v>113</v>
      </c>
    </row>
    <row r="287" spans="1:4">
      <c r="A287" s="274" t="s">
        <v>1629</v>
      </c>
      <c r="B287" s="274" t="s">
        <v>1606</v>
      </c>
      <c r="C287" s="274" t="s">
        <v>1630</v>
      </c>
      <c r="D287" s="275" t="s">
        <v>113</v>
      </c>
    </row>
    <row r="288" spans="1:4">
      <c r="A288" s="274" t="s">
        <v>1605</v>
      </c>
      <c r="B288" s="274" t="s">
        <v>1606</v>
      </c>
      <c r="C288" s="274" t="s">
        <v>1607</v>
      </c>
      <c r="D288" s="275" t="s">
        <v>113</v>
      </c>
    </row>
    <row r="289" spans="1:4">
      <c r="A289" s="274" t="s">
        <v>1710</v>
      </c>
      <c r="B289" s="274" t="s">
        <v>1711</v>
      </c>
      <c r="C289" s="274" t="s">
        <v>1712</v>
      </c>
      <c r="D289" s="275" t="s">
        <v>113</v>
      </c>
    </row>
    <row r="290" spans="1:4">
      <c r="A290" s="274" t="s">
        <v>1845</v>
      </c>
      <c r="B290" s="274" t="s">
        <v>1846</v>
      </c>
      <c r="C290" s="274" t="s">
        <v>1847</v>
      </c>
      <c r="D290" s="275" t="s">
        <v>113</v>
      </c>
    </row>
    <row r="291" spans="1:4">
      <c r="A291" s="274" t="s">
        <v>1729</v>
      </c>
      <c r="B291" s="274" t="s">
        <v>1730</v>
      </c>
      <c r="C291" s="274" t="s">
        <v>1731</v>
      </c>
      <c r="D291" s="275" t="s">
        <v>2633</v>
      </c>
    </row>
    <row r="292" spans="1:4">
      <c r="A292" s="274" t="s">
        <v>1486</v>
      </c>
      <c r="B292" s="274" t="s">
        <v>1487</v>
      </c>
      <c r="C292" s="274" t="s">
        <v>1488</v>
      </c>
      <c r="D292" s="275" t="s">
        <v>2633</v>
      </c>
    </row>
    <row r="293" spans="1:4">
      <c r="A293" s="274" t="s">
        <v>889</v>
      </c>
      <c r="B293" s="274" t="s">
        <v>890</v>
      </c>
      <c r="C293" s="274" t="s">
        <v>891</v>
      </c>
      <c r="D293" s="275" t="s">
        <v>2633</v>
      </c>
    </row>
    <row r="294" spans="1:4">
      <c r="A294" s="274" t="s">
        <v>1774</v>
      </c>
      <c r="B294" s="274" t="s">
        <v>1775</v>
      </c>
      <c r="C294" s="274" t="s">
        <v>1776</v>
      </c>
      <c r="D294" s="275" t="s">
        <v>2633</v>
      </c>
    </row>
    <row r="295" spans="1:4">
      <c r="A295" s="274" t="s">
        <v>1807</v>
      </c>
      <c r="B295" s="274" t="s">
        <v>1808</v>
      </c>
      <c r="C295" s="274" t="s">
        <v>1809</v>
      </c>
      <c r="D295" s="275" t="s">
        <v>2633</v>
      </c>
    </row>
    <row r="296" spans="1:4">
      <c r="A296" s="274" t="s">
        <v>440</v>
      </c>
      <c r="B296" s="274" t="s">
        <v>441</v>
      </c>
      <c r="C296" s="274" t="s">
        <v>442</v>
      </c>
      <c r="D296" s="275" t="s">
        <v>2633</v>
      </c>
    </row>
    <row r="297" spans="1:4">
      <c r="A297" s="274" t="s">
        <v>1582</v>
      </c>
      <c r="B297" s="274" t="s">
        <v>1583</v>
      </c>
      <c r="C297" s="274" t="s">
        <v>1584</v>
      </c>
      <c r="D297" s="275" t="s">
        <v>2633</v>
      </c>
    </row>
    <row r="298" spans="1:4">
      <c r="A298" s="274" t="s">
        <v>2362</v>
      </c>
      <c r="B298" s="274" t="s">
        <v>1583</v>
      </c>
      <c r="C298" s="274" t="s">
        <v>2363</v>
      </c>
      <c r="D298" s="275" t="s">
        <v>2633</v>
      </c>
    </row>
    <row r="299" spans="1:4">
      <c r="A299" s="274" t="s">
        <v>2169</v>
      </c>
      <c r="B299" s="274" t="s">
        <v>2170</v>
      </c>
      <c r="C299" s="274" t="s">
        <v>2171</v>
      </c>
      <c r="D299" s="275" t="s">
        <v>2633</v>
      </c>
    </row>
    <row r="300" spans="1:4">
      <c r="A300" s="274" t="s">
        <v>2108</v>
      </c>
      <c r="B300" s="274" t="s">
        <v>2109</v>
      </c>
      <c r="C300" s="274" t="s">
        <v>2110</v>
      </c>
      <c r="D300" s="275" t="s">
        <v>2633</v>
      </c>
    </row>
    <row r="301" spans="1:4">
      <c r="A301" s="274" t="s">
        <v>2226</v>
      </c>
      <c r="B301" s="274" t="s">
        <v>2227</v>
      </c>
      <c r="C301" s="274" t="s">
        <v>2228</v>
      </c>
      <c r="D301" s="275" t="s">
        <v>2633</v>
      </c>
    </row>
    <row r="302" spans="1:4">
      <c r="A302" s="274" t="s">
        <v>1110</v>
      </c>
      <c r="B302" s="274" t="s">
        <v>1111</v>
      </c>
      <c r="C302" s="274" t="s">
        <v>1112</v>
      </c>
      <c r="D302" s="275" t="s">
        <v>2633</v>
      </c>
    </row>
    <row r="303" spans="1:4">
      <c r="A303" s="274" t="s">
        <v>1880</v>
      </c>
      <c r="B303" s="274" t="s">
        <v>1881</v>
      </c>
      <c r="C303" s="274" t="s">
        <v>1882</v>
      </c>
      <c r="D303" s="275" t="s">
        <v>2633</v>
      </c>
    </row>
    <row r="304" spans="1:4">
      <c r="A304" s="274" t="s">
        <v>2467</v>
      </c>
      <c r="B304" s="274" t="s">
        <v>2468</v>
      </c>
      <c r="C304" s="274" t="s">
        <v>2469</v>
      </c>
      <c r="D304" s="275" t="s">
        <v>2633</v>
      </c>
    </row>
    <row r="305" spans="1:4">
      <c r="A305" s="274" t="s">
        <v>2562</v>
      </c>
      <c r="B305" s="274" t="s">
        <v>2563</v>
      </c>
      <c r="C305" s="274" t="s">
        <v>2564</v>
      </c>
      <c r="D305" s="275" t="s">
        <v>2633</v>
      </c>
    </row>
    <row r="306" spans="1:4">
      <c r="A306" s="274" t="s">
        <v>537</v>
      </c>
      <c r="B306" s="274" t="s">
        <v>538</v>
      </c>
      <c r="C306" s="274" t="s">
        <v>539</v>
      </c>
      <c r="D306" s="275" t="s">
        <v>2633</v>
      </c>
    </row>
    <row r="307" spans="1:4">
      <c r="A307" s="274" t="s">
        <v>1343</v>
      </c>
      <c r="B307" s="274" t="s">
        <v>1344</v>
      </c>
      <c r="C307" s="274" t="s">
        <v>1345</v>
      </c>
      <c r="D307" s="275" t="s">
        <v>2633</v>
      </c>
    </row>
    <row r="308" spans="1:4">
      <c r="A308" s="274" t="s">
        <v>497</v>
      </c>
      <c r="B308" s="274" t="s">
        <v>498</v>
      </c>
      <c r="C308" s="274" t="s">
        <v>499</v>
      </c>
      <c r="D308" s="275" t="s">
        <v>2633</v>
      </c>
    </row>
    <row r="309" spans="1:4">
      <c r="A309" s="274" t="s">
        <v>2024</v>
      </c>
      <c r="B309" s="274" t="s">
        <v>2025</v>
      </c>
      <c r="C309" s="274" t="s">
        <v>2026</v>
      </c>
      <c r="D309" s="275" t="s">
        <v>2633</v>
      </c>
    </row>
    <row r="310" spans="1:4">
      <c r="A310" s="274" t="s">
        <v>1659</v>
      </c>
      <c r="B310" s="274" t="s">
        <v>1660</v>
      </c>
      <c r="C310" s="274" t="s">
        <v>1661</v>
      </c>
      <c r="D310" s="275" t="s">
        <v>2633</v>
      </c>
    </row>
    <row r="311" spans="1:4">
      <c r="A311" s="274" t="s">
        <v>1558</v>
      </c>
      <c r="B311" s="274" t="s">
        <v>966</v>
      </c>
      <c r="C311" s="274" t="s">
        <v>1559</v>
      </c>
      <c r="D311" s="275" t="s">
        <v>2633</v>
      </c>
    </row>
    <row r="312" spans="1:4">
      <c r="A312" s="274" t="s">
        <v>965</v>
      </c>
      <c r="B312" s="274" t="s">
        <v>966</v>
      </c>
      <c r="C312" s="274" t="s">
        <v>967</v>
      </c>
      <c r="D312" s="275" t="s">
        <v>2633</v>
      </c>
    </row>
    <row r="313" spans="1:4">
      <c r="A313" s="274" t="s">
        <v>465</v>
      </c>
      <c r="B313" s="274" t="s">
        <v>466</v>
      </c>
      <c r="C313" s="274" t="s">
        <v>467</v>
      </c>
      <c r="D313" s="275" t="s">
        <v>2633</v>
      </c>
    </row>
    <row r="314" spans="1:4">
      <c r="A314" s="274" t="s">
        <v>1758</v>
      </c>
      <c r="B314" s="274" t="s">
        <v>1759</v>
      </c>
      <c r="C314" s="274" t="s">
        <v>1760</v>
      </c>
      <c r="D314" s="275" t="s">
        <v>2633</v>
      </c>
    </row>
    <row r="315" spans="1:4">
      <c r="A315" s="274" t="s">
        <v>1138</v>
      </c>
      <c r="B315" s="274" t="s">
        <v>1139</v>
      </c>
      <c r="C315" s="274" t="s">
        <v>1140</v>
      </c>
      <c r="D315" s="275" t="s">
        <v>2633</v>
      </c>
    </row>
    <row r="316" spans="1:4">
      <c r="A316" s="274" t="s">
        <v>767</v>
      </c>
      <c r="B316" s="274" t="s">
        <v>768</v>
      </c>
      <c r="C316" s="274" t="s">
        <v>769</v>
      </c>
      <c r="D316" s="275" t="s">
        <v>2633</v>
      </c>
    </row>
    <row r="317" spans="1:4">
      <c r="A317" s="274" t="s">
        <v>2165</v>
      </c>
      <c r="B317" s="274" t="s">
        <v>2166</v>
      </c>
      <c r="C317" s="274" t="s">
        <v>2167</v>
      </c>
      <c r="D317" s="275" t="s">
        <v>2633</v>
      </c>
    </row>
    <row r="318" spans="1:4">
      <c r="A318" s="274" t="s">
        <v>1071</v>
      </c>
      <c r="B318" s="274" t="s">
        <v>1072</v>
      </c>
      <c r="C318" s="274" t="s">
        <v>1073</v>
      </c>
      <c r="D318" s="275" t="s">
        <v>2633</v>
      </c>
    </row>
    <row r="319" spans="1:4">
      <c r="A319" s="274" t="s">
        <v>522</v>
      </c>
      <c r="B319" s="274" t="s">
        <v>523</v>
      </c>
      <c r="C319" s="274" t="s">
        <v>524</v>
      </c>
      <c r="D319" s="275" t="s">
        <v>2633</v>
      </c>
    </row>
    <row r="320" spans="1:4">
      <c r="A320" s="274" t="s">
        <v>881</v>
      </c>
      <c r="B320" s="274" t="s">
        <v>882</v>
      </c>
      <c r="C320" s="274" t="s">
        <v>883</v>
      </c>
      <c r="D320" s="275" t="s">
        <v>2633</v>
      </c>
    </row>
    <row r="321" spans="1:4">
      <c r="A321" s="274" t="s">
        <v>1392</v>
      </c>
      <c r="B321" s="274" t="s">
        <v>1393</v>
      </c>
      <c r="C321" s="274" t="s">
        <v>1394</v>
      </c>
      <c r="D321" s="275" t="s">
        <v>2633</v>
      </c>
    </row>
    <row r="322" spans="1:4">
      <c r="A322" s="274" t="s">
        <v>1884</v>
      </c>
      <c r="B322" s="274" t="s">
        <v>1800</v>
      </c>
      <c r="C322" s="274" t="s">
        <v>1885</v>
      </c>
      <c r="D322" s="275" t="s">
        <v>2633</v>
      </c>
    </row>
    <row r="323" spans="1:4">
      <c r="A323" s="274" t="s">
        <v>1799</v>
      </c>
      <c r="B323" s="274" t="s">
        <v>1800</v>
      </c>
      <c r="C323" s="274" t="s">
        <v>1801</v>
      </c>
      <c r="D323" s="275" t="s">
        <v>2633</v>
      </c>
    </row>
    <row r="324" spans="1:4">
      <c r="A324" s="274" t="s">
        <v>1309</v>
      </c>
      <c r="B324" s="274" t="s">
        <v>1310</v>
      </c>
      <c r="C324" s="274" t="s">
        <v>1311</v>
      </c>
      <c r="D324" s="275" t="s">
        <v>2633</v>
      </c>
    </row>
    <row r="325" spans="1:4">
      <c r="A325" s="274" t="s">
        <v>2046</v>
      </c>
      <c r="B325" s="274" t="s">
        <v>2047</v>
      </c>
      <c r="C325" s="274" t="s">
        <v>2048</v>
      </c>
      <c r="D325" s="275" t="s">
        <v>2633</v>
      </c>
    </row>
    <row r="326" spans="1:4">
      <c r="A326" s="274" t="s">
        <v>2042</v>
      </c>
      <c r="B326" s="274" t="s">
        <v>2043</v>
      </c>
      <c r="C326" s="274" t="s">
        <v>2044</v>
      </c>
      <c r="D326" s="275" t="s">
        <v>2633</v>
      </c>
    </row>
    <row r="327" spans="1:4">
      <c r="A327" s="274" t="s">
        <v>636</v>
      </c>
      <c r="B327" s="274" t="s">
        <v>637</v>
      </c>
      <c r="C327" s="274" t="s">
        <v>638</v>
      </c>
      <c r="D327" s="275" t="s">
        <v>2633</v>
      </c>
    </row>
    <row r="328" spans="1:4">
      <c r="A328" s="274" t="s">
        <v>1428</v>
      </c>
      <c r="B328" s="274" t="s">
        <v>1429</v>
      </c>
      <c r="C328" s="274" t="s">
        <v>1430</v>
      </c>
      <c r="D328" s="275" t="s">
        <v>2633</v>
      </c>
    </row>
    <row r="329" spans="1:4">
      <c r="A329" s="274" t="s">
        <v>2131</v>
      </c>
      <c r="B329" s="274" t="s">
        <v>2132</v>
      </c>
      <c r="C329" s="274" t="s">
        <v>2133</v>
      </c>
      <c r="D329" s="275" t="s">
        <v>2633</v>
      </c>
    </row>
    <row r="330" spans="1:4">
      <c r="A330" s="274" t="s">
        <v>1511</v>
      </c>
      <c r="B330" s="274" t="s">
        <v>1512</v>
      </c>
      <c r="C330" s="274" t="s">
        <v>1513</v>
      </c>
      <c r="D330" s="275" t="s">
        <v>2633</v>
      </c>
    </row>
    <row r="331" spans="1:4">
      <c r="A331" s="274" t="s">
        <v>934</v>
      </c>
      <c r="B331" s="274" t="s">
        <v>935</v>
      </c>
      <c r="C331" s="274" t="s">
        <v>936</v>
      </c>
      <c r="D331" s="275" t="s">
        <v>2633</v>
      </c>
    </row>
    <row r="332" spans="1:4">
      <c r="A332" s="274" t="s">
        <v>482</v>
      </c>
      <c r="B332" s="274" t="s">
        <v>483</v>
      </c>
      <c r="C332" s="274" t="s">
        <v>484</v>
      </c>
      <c r="D332" s="275" t="s">
        <v>2633</v>
      </c>
    </row>
    <row r="333" spans="1:4">
      <c r="A333" s="274" t="s">
        <v>1114</v>
      </c>
      <c r="B333" s="274" t="s">
        <v>1115</v>
      </c>
      <c r="C333" s="274" t="s">
        <v>1116</v>
      </c>
      <c r="D333" s="275" t="s">
        <v>2633</v>
      </c>
    </row>
    <row r="334" spans="1:4">
      <c r="A334" s="274" t="s">
        <v>2079</v>
      </c>
      <c r="B334" s="274" t="s">
        <v>2080</v>
      </c>
      <c r="C334" s="274" t="s">
        <v>2081</v>
      </c>
      <c r="D334" s="275" t="s">
        <v>2633</v>
      </c>
    </row>
    <row r="335" spans="1:4">
      <c r="A335" s="274" t="s">
        <v>1970</v>
      </c>
      <c r="B335" s="274" t="s">
        <v>1971</v>
      </c>
      <c r="C335" s="274" t="s">
        <v>1972</v>
      </c>
      <c r="D335" s="275" t="s">
        <v>2633</v>
      </c>
    </row>
    <row r="336" spans="1:4">
      <c r="A336" s="274" t="s">
        <v>1594</v>
      </c>
      <c r="B336" s="274" t="s">
        <v>1595</v>
      </c>
      <c r="C336" s="274" t="s">
        <v>1596</v>
      </c>
      <c r="D336" s="275" t="s">
        <v>2633</v>
      </c>
    </row>
    <row r="337" spans="1:4">
      <c r="A337" s="274" t="s">
        <v>993</v>
      </c>
      <c r="B337" s="274" t="s">
        <v>994</v>
      </c>
      <c r="C337" s="274" t="s">
        <v>995</v>
      </c>
      <c r="D337" s="275" t="s">
        <v>2633</v>
      </c>
    </row>
    <row r="338" spans="1:4">
      <c r="A338" s="274" t="s">
        <v>2434</v>
      </c>
      <c r="B338" s="274" t="s">
        <v>2435</v>
      </c>
      <c r="C338" s="274" t="s">
        <v>2436</v>
      </c>
      <c r="D338" s="275" t="s">
        <v>2633</v>
      </c>
    </row>
    <row r="339" spans="1:4">
      <c r="A339" s="274" t="s">
        <v>473</v>
      </c>
      <c r="B339" s="274" t="s">
        <v>474</v>
      </c>
      <c r="C339" s="274" t="s">
        <v>475</v>
      </c>
      <c r="D339" s="275" t="s">
        <v>2633</v>
      </c>
    </row>
    <row r="340" spans="1:4">
      <c r="A340" s="274" t="s">
        <v>708</v>
      </c>
      <c r="B340" s="274" t="s">
        <v>709</v>
      </c>
      <c r="C340" s="274" t="s">
        <v>710</v>
      </c>
      <c r="D340" s="275" t="s">
        <v>2633</v>
      </c>
    </row>
    <row r="341" spans="1:4">
      <c r="A341" s="274" t="s">
        <v>2559</v>
      </c>
      <c r="B341" s="274" t="s">
        <v>2560</v>
      </c>
      <c r="C341" s="274" t="s">
        <v>2561</v>
      </c>
      <c r="D341" s="275" t="s">
        <v>2633</v>
      </c>
    </row>
    <row r="342" spans="1:4">
      <c r="A342" s="274" t="s">
        <v>2120</v>
      </c>
      <c r="B342" s="274" t="s">
        <v>346</v>
      </c>
      <c r="C342" s="274" t="s">
        <v>2121</v>
      </c>
      <c r="D342" s="275" t="s">
        <v>2633</v>
      </c>
    </row>
    <row r="343" spans="1:4">
      <c r="A343" s="274" t="s">
        <v>2199</v>
      </c>
      <c r="B343" s="274" t="s">
        <v>2200</v>
      </c>
      <c r="C343" s="274" t="s">
        <v>2201</v>
      </c>
      <c r="D343" s="275" t="s">
        <v>2633</v>
      </c>
    </row>
    <row r="344" spans="1:4">
      <c r="A344" s="274" t="s">
        <v>1736</v>
      </c>
      <c r="B344" s="274" t="s">
        <v>1120</v>
      </c>
      <c r="C344" s="274" t="s">
        <v>1737</v>
      </c>
      <c r="D344" s="275" t="s">
        <v>2633</v>
      </c>
    </row>
    <row r="345" spans="1:4">
      <c r="A345" s="274" t="s">
        <v>1010</v>
      </c>
      <c r="B345" s="274" t="s">
        <v>1011</v>
      </c>
      <c r="C345" s="274" t="s">
        <v>1012</v>
      </c>
      <c r="D345" s="275" t="s">
        <v>2633</v>
      </c>
    </row>
    <row r="346" spans="1:4">
      <c r="A346" s="274" t="s">
        <v>2145</v>
      </c>
      <c r="B346" s="274" t="s">
        <v>2146</v>
      </c>
      <c r="C346" s="274" t="s">
        <v>2147</v>
      </c>
      <c r="D346" s="275" t="s">
        <v>2633</v>
      </c>
    </row>
    <row r="347" spans="1:4">
      <c r="A347" s="274" t="s">
        <v>2317</v>
      </c>
      <c r="B347" s="274" t="s">
        <v>2318</v>
      </c>
      <c r="C347" s="274" t="s">
        <v>2319</v>
      </c>
      <c r="D347" s="275" t="s">
        <v>2633</v>
      </c>
    </row>
    <row r="348" spans="1:4">
      <c r="A348" s="274" t="s">
        <v>419</v>
      </c>
      <c r="B348" s="274" t="s">
        <v>420</v>
      </c>
      <c r="C348" s="274" t="s">
        <v>421</v>
      </c>
      <c r="D348" s="275" t="s">
        <v>2633</v>
      </c>
    </row>
    <row r="349" spans="1:4">
      <c r="A349" s="274" t="s">
        <v>2343</v>
      </c>
      <c r="B349" s="274" t="s">
        <v>792</v>
      </c>
      <c r="C349" s="274" t="s">
        <v>2344</v>
      </c>
      <c r="D349" s="275" t="s">
        <v>2633</v>
      </c>
    </row>
    <row r="350" spans="1:4">
      <c r="A350" s="274" t="s">
        <v>1697</v>
      </c>
      <c r="B350" s="274" t="s">
        <v>792</v>
      </c>
      <c r="C350" s="274" t="s">
        <v>1698</v>
      </c>
      <c r="D350" s="275" t="s">
        <v>2633</v>
      </c>
    </row>
    <row r="351" spans="1:4">
      <c r="A351" s="274" t="s">
        <v>429</v>
      </c>
      <c r="B351" s="274" t="s">
        <v>430</v>
      </c>
      <c r="C351" s="274" t="s">
        <v>431</v>
      </c>
      <c r="D351" s="275" t="s">
        <v>2633</v>
      </c>
    </row>
    <row r="352" spans="1:4">
      <c r="A352" s="274" t="s">
        <v>2274</v>
      </c>
      <c r="B352" s="274" t="s">
        <v>430</v>
      </c>
      <c r="C352" s="274" t="s">
        <v>2275</v>
      </c>
      <c r="D352" s="275" t="s">
        <v>2633</v>
      </c>
    </row>
    <row r="353" spans="1:4">
      <c r="A353" s="274" t="s">
        <v>876</v>
      </c>
      <c r="B353" s="274" t="s">
        <v>877</v>
      </c>
      <c r="C353" s="274" t="s">
        <v>878</v>
      </c>
      <c r="D353" s="275" t="s">
        <v>2633</v>
      </c>
    </row>
    <row r="354" spans="1:4">
      <c r="A354" s="274" t="s">
        <v>2381</v>
      </c>
      <c r="B354" s="274" t="s">
        <v>2382</v>
      </c>
      <c r="C354" s="274" t="s">
        <v>2383</v>
      </c>
      <c r="D354" s="275" t="s">
        <v>2633</v>
      </c>
    </row>
    <row r="355" spans="1:4">
      <c r="A355" s="274" t="s">
        <v>541</v>
      </c>
      <c r="B355" s="274" t="s">
        <v>542</v>
      </c>
      <c r="C355" s="274" t="s">
        <v>543</v>
      </c>
      <c r="D355" s="275" t="s">
        <v>2633</v>
      </c>
    </row>
    <row r="356" spans="1:4">
      <c r="A356" s="274" t="s">
        <v>2054</v>
      </c>
      <c r="B356" s="274" t="s">
        <v>2055</v>
      </c>
      <c r="C356" s="274" t="s">
        <v>2056</v>
      </c>
      <c r="D356" s="275" t="s">
        <v>2633</v>
      </c>
    </row>
    <row r="357" spans="1:4">
      <c r="A357" s="274" t="s">
        <v>1690</v>
      </c>
      <c r="B357" s="274" t="s">
        <v>1691</v>
      </c>
      <c r="C357" s="274" t="s">
        <v>1692</v>
      </c>
      <c r="D357" s="275" t="s">
        <v>2633</v>
      </c>
    </row>
    <row r="358" spans="1:4">
      <c r="A358" s="274" t="s">
        <v>951</v>
      </c>
      <c r="B358" s="274" t="s">
        <v>952</v>
      </c>
      <c r="C358" s="274" t="s">
        <v>953</v>
      </c>
      <c r="D358" s="275" t="s">
        <v>2633</v>
      </c>
    </row>
    <row r="359" spans="1:4">
      <c r="A359" s="274" t="s">
        <v>2410</v>
      </c>
      <c r="B359" s="274" t="s">
        <v>2411</v>
      </c>
      <c r="C359" s="274" t="s">
        <v>2412</v>
      </c>
      <c r="D359" s="275" t="s">
        <v>2633</v>
      </c>
    </row>
    <row r="360" spans="1:4">
      <c r="A360" s="274" t="s">
        <v>1526</v>
      </c>
      <c r="B360" s="274" t="s">
        <v>1527</v>
      </c>
      <c r="C360" s="274" t="s">
        <v>1528</v>
      </c>
      <c r="D360" s="275" t="s">
        <v>2633</v>
      </c>
    </row>
    <row r="361" spans="1:4">
      <c r="A361" s="274" t="s">
        <v>2211</v>
      </c>
      <c r="B361" s="274" t="s">
        <v>1949</v>
      </c>
      <c r="C361" s="274" t="s">
        <v>2212</v>
      </c>
      <c r="D361" s="275" t="s">
        <v>2633</v>
      </c>
    </row>
    <row r="362" spans="1:4">
      <c r="A362" s="274" t="s">
        <v>2346</v>
      </c>
      <c r="B362" s="274" t="s">
        <v>2347</v>
      </c>
      <c r="C362" s="274" t="s">
        <v>2348</v>
      </c>
      <c r="D362" s="275" t="s">
        <v>2633</v>
      </c>
    </row>
    <row r="363" spans="1:4">
      <c r="A363" s="274" t="s">
        <v>338</v>
      </c>
      <c r="B363" s="274" t="s">
        <v>339</v>
      </c>
      <c r="C363" s="274" t="s">
        <v>340</v>
      </c>
      <c r="D363" s="275" t="s">
        <v>2633</v>
      </c>
    </row>
    <row r="364" spans="1:4">
      <c r="A364" s="274" t="s">
        <v>915</v>
      </c>
      <c r="B364" s="274" t="s">
        <v>916</v>
      </c>
      <c r="C364" s="274" t="s">
        <v>917</v>
      </c>
      <c r="D364" s="275" t="s">
        <v>2633</v>
      </c>
    </row>
    <row r="365" spans="1:4">
      <c r="A365" s="274" t="s">
        <v>2477</v>
      </c>
      <c r="B365" s="274" t="s">
        <v>2303</v>
      </c>
      <c r="C365" s="274" t="s">
        <v>2478</v>
      </c>
      <c r="D365" s="275" t="s">
        <v>2633</v>
      </c>
    </row>
    <row r="366" spans="1:4">
      <c r="A366" s="274" t="s">
        <v>2039</v>
      </c>
      <c r="B366" s="274" t="s">
        <v>2040</v>
      </c>
      <c r="C366" s="274" t="s">
        <v>2041</v>
      </c>
      <c r="D366" s="275" t="s">
        <v>2633</v>
      </c>
    </row>
    <row r="367" spans="1:4">
      <c r="A367" s="274" t="s">
        <v>1173</v>
      </c>
      <c r="B367" s="274" t="s">
        <v>1174</v>
      </c>
      <c r="C367" s="274" t="s">
        <v>1175</v>
      </c>
      <c r="D367" s="275" t="s">
        <v>2633</v>
      </c>
    </row>
    <row r="368" spans="1:4">
      <c r="A368" s="274" t="s">
        <v>1096</v>
      </c>
      <c r="B368" s="274" t="s">
        <v>1097</v>
      </c>
      <c r="C368" s="274" t="s">
        <v>1098</v>
      </c>
      <c r="D368" s="275" t="s">
        <v>2633</v>
      </c>
    </row>
    <row r="369" spans="1:4">
      <c r="A369" s="274" t="s">
        <v>478</v>
      </c>
      <c r="B369" s="274" t="s">
        <v>479</v>
      </c>
      <c r="C369" s="274" t="s">
        <v>480</v>
      </c>
      <c r="D369" s="275" t="s">
        <v>2633</v>
      </c>
    </row>
    <row r="370" spans="1:4">
      <c r="A370" s="274" t="s">
        <v>1177</v>
      </c>
      <c r="B370" s="274" t="s">
        <v>1178</v>
      </c>
      <c r="C370" s="274" t="s">
        <v>1179</v>
      </c>
      <c r="D370" s="275" t="s">
        <v>2633</v>
      </c>
    </row>
    <row r="371" spans="1:4">
      <c r="A371" s="274" t="s">
        <v>1328</v>
      </c>
      <c r="B371" s="274" t="s">
        <v>672</v>
      </c>
      <c r="C371" s="274" t="s">
        <v>1329</v>
      </c>
      <c r="D371" s="275" t="s">
        <v>2633</v>
      </c>
    </row>
    <row r="372" spans="1:4">
      <c r="A372" s="274" t="s">
        <v>671</v>
      </c>
      <c r="B372" s="274" t="s">
        <v>672</v>
      </c>
      <c r="C372" s="274" t="s">
        <v>673</v>
      </c>
      <c r="D372" s="275" t="s">
        <v>2633</v>
      </c>
    </row>
    <row r="373" spans="1:4">
      <c r="A373" s="274" t="s">
        <v>2127</v>
      </c>
      <c r="B373" s="274" t="s">
        <v>2128</v>
      </c>
      <c r="C373" s="274" t="s">
        <v>2129</v>
      </c>
      <c r="D373" s="275" t="s">
        <v>2633</v>
      </c>
    </row>
    <row r="374" spans="1:4">
      <c r="A374" s="274" t="s">
        <v>1497</v>
      </c>
      <c r="B374" s="274" t="s">
        <v>1498</v>
      </c>
      <c r="C374" s="274" t="s">
        <v>1499</v>
      </c>
      <c r="D374" s="275" t="s">
        <v>2633</v>
      </c>
    </row>
    <row r="375" spans="1:4">
      <c r="A375" s="274" t="s">
        <v>1028</v>
      </c>
      <c r="B375" s="274" t="s">
        <v>1029</v>
      </c>
      <c r="C375" s="274" t="s">
        <v>1030</v>
      </c>
      <c r="D375" s="275" t="s">
        <v>2633</v>
      </c>
    </row>
    <row r="376" spans="1:4">
      <c r="A376" s="274" t="s">
        <v>787</v>
      </c>
      <c r="B376" s="274" t="s">
        <v>788</v>
      </c>
      <c r="C376" s="274" t="s">
        <v>789</v>
      </c>
      <c r="D376" s="275" t="s">
        <v>2633</v>
      </c>
    </row>
    <row r="377" spans="1:4">
      <c r="A377" s="274" t="s">
        <v>902</v>
      </c>
      <c r="B377" s="274" t="s">
        <v>903</v>
      </c>
      <c r="C377" s="274" t="s">
        <v>904</v>
      </c>
      <c r="D377" s="275" t="s">
        <v>2633</v>
      </c>
    </row>
    <row r="378" spans="1:4">
      <c r="A378" s="274" t="s">
        <v>1289</v>
      </c>
      <c r="B378" s="274" t="s">
        <v>1290</v>
      </c>
      <c r="C378" s="274" t="s">
        <v>1291</v>
      </c>
      <c r="D378" s="275" t="s">
        <v>2633</v>
      </c>
    </row>
    <row r="379" spans="1:4">
      <c r="A379" s="274" t="s">
        <v>527</v>
      </c>
      <c r="B379" s="274" t="s">
        <v>528</v>
      </c>
      <c r="C379" s="274" t="s">
        <v>529</v>
      </c>
      <c r="D379" s="275" t="s">
        <v>2633</v>
      </c>
    </row>
    <row r="380" spans="1:4">
      <c r="A380" s="274" t="s">
        <v>2086</v>
      </c>
      <c r="B380" s="274" t="s">
        <v>2087</v>
      </c>
      <c r="C380" s="274" t="s">
        <v>2088</v>
      </c>
      <c r="D380" s="275" t="s">
        <v>2633</v>
      </c>
    </row>
    <row r="381" spans="1:4">
      <c r="A381" s="274" t="s">
        <v>1538</v>
      </c>
      <c r="B381" s="274" t="s">
        <v>1539</v>
      </c>
      <c r="C381" s="274" t="s">
        <v>1540</v>
      </c>
      <c r="D381" s="275" t="s">
        <v>2633</v>
      </c>
    </row>
    <row r="382" spans="1:4">
      <c r="A382" s="274" t="s">
        <v>1669</v>
      </c>
      <c r="B382" s="274" t="s">
        <v>1670</v>
      </c>
      <c r="C382" s="274" t="s">
        <v>1671</v>
      </c>
      <c r="D382" s="275" t="s">
        <v>2633</v>
      </c>
    </row>
    <row r="383" spans="1:4">
      <c r="A383" s="274" t="s">
        <v>1715</v>
      </c>
      <c r="B383" s="274" t="s">
        <v>1716</v>
      </c>
      <c r="C383" s="274" t="s">
        <v>1717</v>
      </c>
      <c r="D383" s="275" t="s">
        <v>2633</v>
      </c>
    </row>
    <row r="384" spans="1:4">
      <c r="A384" s="274" t="s">
        <v>1744</v>
      </c>
      <c r="B384" s="274" t="s">
        <v>1745</v>
      </c>
      <c r="C384" s="274" t="s">
        <v>1746</v>
      </c>
      <c r="D384" s="275" t="s">
        <v>2633</v>
      </c>
    </row>
    <row r="385" spans="1:4">
      <c r="A385" s="274" t="s">
        <v>946</v>
      </c>
      <c r="B385" s="274" t="s">
        <v>947</v>
      </c>
      <c r="C385" s="274" t="s">
        <v>948</v>
      </c>
      <c r="D385" s="275" t="s">
        <v>2633</v>
      </c>
    </row>
    <row r="386" spans="1:4">
      <c r="A386" s="274" t="s">
        <v>1493</v>
      </c>
      <c r="B386" s="274" t="s">
        <v>1494</v>
      </c>
      <c r="C386" s="274" t="s">
        <v>1495</v>
      </c>
      <c r="D386" s="275" t="s">
        <v>2633</v>
      </c>
    </row>
    <row r="387" spans="1:4">
      <c r="A387" s="274" t="s">
        <v>328</v>
      </c>
      <c r="B387" s="274" t="s">
        <v>329</v>
      </c>
      <c r="C387" s="274" t="s">
        <v>330</v>
      </c>
      <c r="D387" s="275" t="s">
        <v>2633</v>
      </c>
    </row>
    <row r="388" spans="1:4">
      <c r="A388" s="274" t="s">
        <v>1621</v>
      </c>
      <c r="B388" s="274" t="s">
        <v>1622</v>
      </c>
      <c r="C388" s="274" t="s">
        <v>1623</v>
      </c>
      <c r="D388" s="275" t="s">
        <v>2633</v>
      </c>
    </row>
    <row r="389" spans="1:4">
      <c r="A389" s="274" t="s">
        <v>1939</v>
      </c>
      <c r="B389" s="274" t="s">
        <v>1792</v>
      </c>
      <c r="C389" s="274" t="s">
        <v>1940</v>
      </c>
      <c r="D389" s="275" t="s">
        <v>2633</v>
      </c>
    </row>
    <row r="390" spans="1:4">
      <c r="A390" s="274" t="s">
        <v>1791</v>
      </c>
      <c r="B390" s="274" t="s">
        <v>1792</v>
      </c>
      <c r="C390" s="274" t="s">
        <v>1793</v>
      </c>
      <c r="D390" s="275" t="s">
        <v>2633</v>
      </c>
    </row>
    <row r="391" spans="1:4">
      <c r="A391" s="274" t="s">
        <v>445</v>
      </c>
      <c r="B391" s="274" t="s">
        <v>446</v>
      </c>
      <c r="C391" s="274" t="s">
        <v>447</v>
      </c>
      <c r="D391" s="275" t="s">
        <v>2633</v>
      </c>
    </row>
    <row r="392" spans="1:4">
      <c r="A392" s="274" t="s">
        <v>1066</v>
      </c>
      <c r="B392" s="274" t="s">
        <v>1067</v>
      </c>
      <c r="C392" s="274" t="s">
        <v>1068</v>
      </c>
      <c r="D392" s="275" t="s">
        <v>2633</v>
      </c>
    </row>
    <row r="393" spans="1:4">
      <c r="A393" s="274" t="s">
        <v>1055</v>
      </c>
      <c r="B393" s="274" t="s">
        <v>728</v>
      </c>
      <c r="C393" s="274" t="s">
        <v>1056</v>
      </c>
      <c r="D393" s="275" t="s">
        <v>2633</v>
      </c>
    </row>
    <row r="394" spans="1:4">
      <c r="A394" s="274" t="s">
        <v>727</v>
      </c>
      <c r="B394" s="274" t="s">
        <v>728</v>
      </c>
      <c r="C394" s="274" t="s">
        <v>729</v>
      </c>
      <c r="D394" s="275" t="s">
        <v>2633</v>
      </c>
    </row>
    <row r="395" spans="1:4">
      <c r="A395" s="274" t="s">
        <v>1092</v>
      </c>
      <c r="B395" s="274" t="s">
        <v>1093</v>
      </c>
      <c r="C395" s="274" t="s">
        <v>1094</v>
      </c>
      <c r="D395" s="275" t="s">
        <v>2633</v>
      </c>
    </row>
    <row r="396" spans="1:4">
      <c r="A396" s="274" t="s">
        <v>1087</v>
      </c>
      <c r="B396" s="274" t="s">
        <v>1088</v>
      </c>
      <c r="C396" s="274" t="s">
        <v>1089</v>
      </c>
      <c r="D396" s="275" t="s">
        <v>2633</v>
      </c>
    </row>
    <row r="397" spans="1:4">
      <c r="A397" s="274" t="s">
        <v>2286</v>
      </c>
      <c r="B397" s="274" t="s">
        <v>588</v>
      </c>
      <c r="C397" s="274" t="s">
        <v>2287</v>
      </c>
      <c r="D397" s="275" t="s">
        <v>2633</v>
      </c>
    </row>
    <row r="398" spans="1:4">
      <c r="A398" s="274" t="s">
        <v>587</v>
      </c>
      <c r="B398" s="274" t="s">
        <v>588</v>
      </c>
      <c r="C398" s="274" t="s">
        <v>589</v>
      </c>
      <c r="D398" s="275" t="s">
        <v>2633</v>
      </c>
    </row>
    <row r="399" spans="1:4">
      <c r="A399" s="274" t="s">
        <v>2049</v>
      </c>
      <c r="B399" s="274" t="s">
        <v>2050</v>
      </c>
      <c r="C399" s="274" t="s">
        <v>2051</v>
      </c>
      <c r="D399" s="275" t="s">
        <v>2633</v>
      </c>
    </row>
    <row r="400" spans="1:4">
      <c r="A400" s="274" t="s">
        <v>1335</v>
      </c>
      <c r="B400" s="274" t="s">
        <v>1336</v>
      </c>
      <c r="C400" s="274" t="s">
        <v>1337</v>
      </c>
      <c r="D400" s="275" t="s">
        <v>2633</v>
      </c>
    </row>
    <row r="401" spans="1:4">
      <c r="A401" s="274" t="s">
        <v>2014</v>
      </c>
      <c r="B401" s="274" t="s">
        <v>2015</v>
      </c>
      <c r="C401" s="274" t="s">
        <v>2016</v>
      </c>
      <c r="D401" s="275" t="s">
        <v>2633</v>
      </c>
    </row>
    <row r="402" spans="1:4">
      <c r="A402" s="274" t="s">
        <v>1083</v>
      </c>
      <c r="B402" s="274" t="s">
        <v>1084</v>
      </c>
      <c r="C402" s="274" t="s">
        <v>1085</v>
      </c>
      <c r="D402" s="275" t="s">
        <v>2633</v>
      </c>
    </row>
    <row r="403" spans="1:4">
      <c r="A403" s="274" t="s">
        <v>1705</v>
      </c>
      <c r="B403" s="274" t="s">
        <v>1706</v>
      </c>
      <c r="C403" s="274" t="s">
        <v>1707</v>
      </c>
      <c r="D403" s="275" t="s">
        <v>2633</v>
      </c>
    </row>
    <row r="404" spans="1:4">
      <c r="A404" s="274" t="s">
        <v>2276</v>
      </c>
      <c r="B404" s="274" t="s">
        <v>2277</v>
      </c>
      <c r="C404" s="274" t="s">
        <v>2278</v>
      </c>
      <c r="D404" s="275" t="s">
        <v>2633</v>
      </c>
    </row>
    <row r="405" spans="1:4">
      <c r="A405" s="274" t="s">
        <v>1062</v>
      </c>
      <c r="B405" s="274" t="s">
        <v>1063</v>
      </c>
      <c r="C405" s="274" t="s">
        <v>1064</v>
      </c>
      <c r="D405" s="275" t="s">
        <v>2633</v>
      </c>
    </row>
    <row r="406" spans="1:4">
      <c r="A406" s="274" t="s">
        <v>977</v>
      </c>
      <c r="B406" s="274" t="s">
        <v>978</v>
      </c>
      <c r="C406" s="274" t="s">
        <v>979</v>
      </c>
      <c r="D406" s="275" t="s">
        <v>2633</v>
      </c>
    </row>
    <row r="407" spans="1:4">
      <c r="A407" s="274" t="s">
        <v>1504</v>
      </c>
      <c r="B407" s="274" t="s">
        <v>1505</v>
      </c>
      <c r="C407" s="274" t="s">
        <v>1506</v>
      </c>
      <c r="D407" s="275" t="s">
        <v>2633</v>
      </c>
    </row>
    <row r="408" spans="1:4">
      <c r="A408" s="274" t="s">
        <v>1279</v>
      </c>
      <c r="B408" s="274" t="s">
        <v>1280</v>
      </c>
      <c r="C408" s="274" t="s">
        <v>1281</v>
      </c>
      <c r="D408" s="275" t="s">
        <v>2633</v>
      </c>
    </row>
    <row r="409" spans="1:4">
      <c r="A409" s="274" t="s">
        <v>1467</v>
      </c>
      <c r="B409" s="274" t="s">
        <v>1468</v>
      </c>
      <c r="C409" s="274" t="s">
        <v>1469</v>
      </c>
      <c r="D409" s="275" t="s">
        <v>2633</v>
      </c>
    </row>
    <row r="410" spans="1:4">
      <c r="A410" s="274" t="s">
        <v>1490</v>
      </c>
      <c r="B410" s="274" t="s">
        <v>1491</v>
      </c>
      <c r="C410" s="274" t="s">
        <v>1492</v>
      </c>
      <c r="D410" s="275" t="s">
        <v>2633</v>
      </c>
    </row>
    <row r="411" spans="1:4">
      <c r="A411" s="274" t="s">
        <v>1577</v>
      </c>
      <c r="B411" s="274" t="s">
        <v>1578</v>
      </c>
      <c r="C411" s="274" t="s">
        <v>1579</v>
      </c>
      <c r="D411" s="275" t="s">
        <v>2633</v>
      </c>
    </row>
    <row r="412" spans="1:4">
      <c r="A412" s="274" t="s">
        <v>2097</v>
      </c>
      <c r="B412" s="274" t="s">
        <v>2098</v>
      </c>
      <c r="C412" s="274" t="s">
        <v>2099</v>
      </c>
      <c r="D412" s="275" t="s">
        <v>2633</v>
      </c>
    </row>
    <row r="413" spans="1:4">
      <c r="A413" s="274" t="s">
        <v>1453</v>
      </c>
      <c r="B413" s="274" t="s">
        <v>1454</v>
      </c>
      <c r="C413" s="274" t="s">
        <v>1455</v>
      </c>
      <c r="D413" s="275" t="s">
        <v>2633</v>
      </c>
    </row>
    <row r="414" spans="1:4">
      <c r="A414" s="274" t="s">
        <v>2185</v>
      </c>
      <c r="B414" s="274" t="s">
        <v>2186</v>
      </c>
      <c r="C414" s="274" t="s">
        <v>2187</v>
      </c>
      <c r="D414" s="275" t="s">
        <v>2633</v>
      </c>
    </row>
    <row r="415" spans="1:4">
      <c r="A415" s="274" t="s">
        <v>351</v>
      </c>
      <c r="B415" s="274" t="s">
        <v>352</v>
      </c>
      <c r="C415" s="274" t="s">
        <v>353</v>
      </c>
      <c r="D415" s="275" t="s">
        <v>2633</v>
      </c>
    </row>
    <row r="416" spans="1:4">
      <c r="A416" s="274" t="s">
        <v>2280</v>
      </c>
      <c r="B416" s="274" t="s">
        <v>2281</v>
      </c>
      <c r="C416" s="274" t="s">
        <v>2282</v>
      </c>
      <c r="D416" s="275" t="s">
        <v>2633</v>
      </c>
    </row>
    <row r="417" spans="1:4">
      <c r="A417" s="274" t="s">
        <v>1370</v>
      </c>
      <c r="B417" s="274" t="s">
        <v>1371</v>
      </c>
      <c r="C417" s="274" t="s">
        <v>1372</v>
      </c>
      <c r="D417" s="275" t="s">
        <v>2633</v>
      </c>
    </row>
    <row r="418" spans="1:4">
      <c r="A418" s="274" t="s">
        <v>2149</v>
      </c>
      <c r="B418" s="274" t="s">
        <v>2150</v>
      </c>
      <c r="C418" s="274" t="s">
        <v>2151</v>
      </c>
      <c r="D418" s="275" t="s">
        <v>2633</v>
      </c>
    </row>
    <row r="419" spans="1:4">
      <c r="A419" s="274" t="s">
        <v>1608</v>
      </c>
      <c r="B419" s="274" t="s">
        <v>1609</v>
      </c>
      <c r="C419" s="274" t="s">
        <v>1610</v>
      </c>
      <c r="D419" s="275" t="s">
        <v>2633</v>
      </c>
    </row>
    <row r="420" spans="1:4">
      <c r="A420" s="274" t="s">
        <v>1358</v>
      </c>
      <c r="B420" s="274" t="s">
        <v>1359</v>
      </c>
      <c r="C420" s="274" t="s">
        <v>1360</v>
      </c>
      <c r="D420" s="275" t="s">
        <v>2633</v>
      </c>
    </row>
    <row r="421" spans="1:4">
      <c r="A421" s="274" t="s">
        <v>1501</v>
      </c>
      <c r="B421" s="274" t="s">
        <v>1502</v>
      </c>
      <c r="C421" s="274" t="s">
        <v>1503</v>
      </c>
      <c r="D421" s="275" t="s">
        <v>2633</v>
      </c>
    </row>
    <row r="422" spans="1:4">
      <c r="A422" s="274" t="s">
        <v>1547</v>
      </c>
      <c r="B422" s="274" t="s">
        <v>1548</v>
      </c>
      <c r="C422" s="274" t="s">
        <v>1549</v>
      </c>
      <c r="D422" s="275" t="s">
        <v>2633</v>
      </c>
    </row>
    <row r="423" spans="1:4">
      <c r="A423" s="274" t="s">
        <v>1984</v>
      </c>
      <c r="B423" s="274" t="s">
        <v>1985</v>
      </c>
      <c r="C423" s="274" t="s">
        <v>1986</v>
      </c>
      <c r="D423" s="275" t="s">
        <v>2633</v>
      </c>
    </row>
    <row r="424" spans="1:4">
      <c r="A424" s="274" t="s">
        <v>1720</v>
      </c>
      <c r="B424" s="274" t="s">
        <v>1721</v>
      </c>
      <c r="C424" s="274" t="s">
        <v>1722</v>
      </c>
      <c r="D424" s="275" t="s">
        <v>2633</v>
      </c>
    </row>
    <row r="425" spans="1:4">
      <c r="A425" s="274" t="s">
        <v>2100</v>
      </c>
      <c r="B425" s="274" t="s">
        <v>2101</v>
      </c>
      <c r="C425" s="274" t="s">
        <v>2102</v>
      </c>
      <c r="D425" s="275" t="s">
        <v>2633</v>
      </c>
    </row>
    <row r="426" spans="1:4">
      <c r="A426" s="274" t="s">
        <v>1348</v>
      </c>
      <c r="B426" s="274" t="s">
        <v>1349</v>
      </c>
      <c r="C426" s="274" t="s">
        <v>1350</v>
      </c>
      <c r="D426" s="275" t="s">
        <v>2633</v>
      </c>
    </row>
    <row r="427" spans="1:4">
      <c r="A427" s="274" t="s">
        <v>718</v>
      </c>
      <c r="B427" s="274" t="s">
        <v>719</v>
      </c>
      <c r="C427" s="274" t="s">
        <v>720</v>
      </c>
      <c r="D427" s="275" t="s">
        <v>2633</v>
      </c>
    </row>
    <row r="428" spans="1:4">
      <c r="A428" s="274" t="s">
        <v>1441</v>
      </c>
      <c r="B428" s="274" t="s">
        <v>1442</v>
      </c>
      <c r="C428" s="274" t="s">
        <v>1443</v>
      </c>
      <c r="D428" s="275" t="s">
        <v>2633</v>
      </c>
    </row>
    <row r="429" spans="1:4">
      <c r="A429" s="274" t="s">
        <v>1694</v>
      </c>
      <c r="B429" s="274" t="s">
        <v>1442</v>
      </c>
      <c r="C429" s="274" t="s">
        <v>1695</v>
      </c>
      <c r="D429" s="275" t="s">
        <v>2633</v>
      </c>
    </row>
    <row r="430" spans="1:4">
      <c r="A430" s="274" t="s">
        <v>1129</v>
      </c>
      <c r="B430" s="274" t="s">
        <v>1130</v>
      </c>
      <c r="C430" s="274" t="s">
        <v>1131</v>
      </c>
      <c r="D430" s="275" t="s">
        <v>2633</v>
      </c>
    </row>
    <row r="431" spans="1:4">
      <c r="A431" s="274" t="s">
        <v>920</v>
      </c>
      <c r="B431" s="274" t="s">
        <v>921</v>
      </c>
      <c r="C431" s="274" t="s">
        <v>922</v>
      </c>
      <c r="D431" s="275" t="s">
        <v>2633</v>
      </c>
    </row>
    <row r="432" spans="1:4">
      <c r="A432" s="274" t="s">
        <v>660</v>
      </c>
      <c r="B432" s="274" t="s">
        <v>661</v>
      </c>
      <c r="C432" s="274" t="s">
        <v>662</v>
      </c>
      <c r="D432" s="275" t="s">
        <v>2633</v>
      </c>
    </row>
    <row r="433" spans="1:4">
      <c r="A433" s="274" t="s">
        <v>2544</v>
      </c>
      <c r="B433" s="274" t="s">
        <v>2545</v>
      </c>
      <c r="C433" s="274" t="s">
        <v>2546</v>
      </c>
      <c r="D433" s="275" t="s">
        <v>2633</v>
      </c>
    </row>
    <row r="434" spans="1:4">
      <c r="A434" s="274" t="s">
        <v>1641</v>
      </c>
      <c r="B434" s="274" t="s">
        <v>1642</v>
      </c>
      <c r="C434" s="274" t="s">
        <v>1643</v>
      </c>
      <c r="D434" s="275" t="s">
        <v>2633</v>
      </c>
    </row>
    <row r="435" spans="1:4">
      <c r="A435" s="274" t="s">
        <v>468</v>
      </c>
      <c r="B435" s="274" t="s">
        <v>469</v>
      </c>
      <c r="C435" s="274" t="s">
        <v>470</v>
      </c>
      <c r="D435" s="275" t="s">
        <v>2633</v>
      </c>
    </row>
    <row r="436" spans="1:4">
      <c r="A436" s="274" t="s">
        <v>1612</v>
      </c>
      <c r="B436" s="274" t="s">
        <v>1613</v>
      </c>
      <c r="C436" s="274" t="s">
        <v>1614</v>
      </c>
      <c r="D436" s="275" t="s">
        <v>2633</v>
      </c>
    </row>
    <row r="437" spans="1:4">
      <c r="A437" s="274" t="s">
        <v>2190</v>
      </c>
      <c r="B437" s="274" t="s">
        <v>2191</v>
      </c>
      <c r="C437" s="274" t="s">
        <v>2192</v>
      </c>
      <c r="D437" s="275" t="s">
        <v>2633</v>
      </c>
    </row>
    <row r="438" spans="1:4">
      <c r="A438" s="274" t="s">
        <v>1724</v>
      </c>
      <c r="B438" s="274" t="s">
        <v>1725</v>
      </c>
      <c r="C438" s="274" t="s">
        <v>1726</v>
      </c>
      <c r="D438" s="275" t="s">
        <v>2633</v>
      </c>
    </row>
    <row r="439" spans="1:4">
      <c r="A439" s="274" t="s">
        <v>487</v>
      </c>
      <c r="B439" s="274" t="s">
        <v>488</v>
      </c>
      <c r="C439" s="274" t="s">
        <v>489</v>
      </c>
      <c r="D439" s="275" t="s">
        <v>2633</v>
      </c>
    </row>
    <row r="440" spans="1:4">
      <c r="A440" s="274" t="s">
        <v>905</v>
      </c>
      <c r="B440" s="274" t="s">
        <v>906</v>
      </c>
      <c r="C440" s="274" t="s">
        <v>907</v>
      </c>
      <c r="D440" s="275" t="s">
        <v>2633</v>
      </c>
    </row>
    <row r="441" spans="1:4">
      <c r="A441" s="274" t="s">
        <v>1379</v>
      </c>
      <c r="B441" s="274" t="s">
        <v>1380</v>
      </c>
      <c r="C441" s="274" t="s">
        <v>1381</v>
      </c>
      <c r="D441" s="275" t="s">
        <v>2633</v>
      </c>
    </row>
    <row r="442" spans="1:4">
      <c r="A442" s="274" t="s">
        <v>2239</v>
      </c>
      <c r="B442" s="274" t="s">
        <v>2240</v>
      </c>
      <c r="C442" s="274" t="s">
        <v>2241</v>
      </c>
      <c r="D442" s="275" t="s">
        <v>2633</v>
      </c>
    </row>
    <row r="443" spans="1:4">
      <c r="A443" s="274" t="s">
        <v>387</v>
      </c>
      <c r="B443" s="274" t="s">
        <v>388</v>
      </c>
      <c r="C443" s="274" t="s">
        <v>389</v>
      </c>
      <c r="D443" s="275" t="s">
        <v>2633</v>
      </c>
    </row>
    <row r="444" spans="1:4">
      <c r="A444" s="274" t="s">
        <v>2180</v>
      </c>
      <c r="B444" s="274" t="s">
        <v>2181</v>
      </c>
      <c r="C444" s="274" t="s">
        <v>2182</v>
      </c>
      <c r="D444" s="275" t="s">
        <v>2633</v>
      </c>
    </row>
    <row r="445" spans="1:4">
      <c r="A445" s="274" t="s">
        <v>1397</v>
      </c>
      <c r="B445" s="274" t="s">
        <v>1398</v>
      </c>
      <c r="C445" s="274" t="s">
        <v>1399</v>
      </c>
      <c r="D445" s="275" t="s">
        <v>2633</v>
      </c>
    </row>
    <row r="446" spans="1:4">
      <c r="A446" s="274" t="s">
        <v>1597</v>
      </c>
      <c r="B446" s="274" t="s">
        <v>1598</v>
      </c>
      <c r="C446" s="274" t="s">
        <v>1599</v>
      </c>
      <c r="D446" s="275" t="s">
        <v>2633</v>
      </c>
    </row>
    <row r="447" spans="1:4">
      <c r="A447" s="274" t="s">
        <v>2093</v>
      </c>
      <c r="B447" s="274" t="s">
        <v>2094</v>
      </c>
      <c r="C447" s="274" t="s">
        <v>2095</v>
      </c>
      <c r="D447" s="275" t="s">
        <v>2633</v>
      </c>
    </row>
    <row r="448" spans="1:4">
      <c r="A448" s="274" t="s">
        <v>517</v>
      </c>
      <c r="B448" s="274" t="s">
        <v>518</v>
      </c>
      <c r="C448" s="274" t="s">
        <v>519</v>
      </c>
      <c r="D448" s="275" t="s">
        <v>2633</v>
      </c>
    </row>
    <row r="449" spans="1:4">
      <c r="A449" s="274" t="s">
        <v>956</v>
      </c>
      <c r="B449" s="274" t="s">
        <v>957</v>
      </c>
      <c r="C449" s="274" t="s">
        <v>958</v>
      </c>
      <c r="D449" s="275" t="s">
        <v>2633</v>
      </c>
    </row>
    <row r="450" spans="1:4">
      <c r="A450" s="274" t="s">
        <v>2492</v>
      </c>
      <c r="B450" s="274" t="s">
        <v>1434</v>
      </c>
      <c r="C450" s="274" t="s">
        <v>2493</v>
      </c>
      <c r="D450" s="275" t="s">
        <v>2633</v>
      </c>
    </row>
    <row r="451" spans="1:4">
      <c r="A451" s="274" t="s">
        <v>1433</v>
      </c>
      <c r="B451" s="274" t="s">
        <v>1434</v>
      </c>
      <c r="C451" s="274" t="s">
        <v>1435</v>
      </c>
      <c r="D451" s="275" t="s">
        <v>2633</v>
      </c>
    </row>
    <row r="452" spans="1:4">
      <c r="A452" s="274" t="s">
        <v>1275</v>
      </c>
      <c r="B452" s="274" t="s">
        <v>1276</v>
      </c>
      <c r="C452" s="274" t="s">
        <v>1277</v>
      </c>
      <c r="D452" s="275" t="s">
        <v>2633</v>
      </c>
    </row>
    <row r="453" spans="1:4">
      <c r="A453" s="274" t="s">
        <v>1788</v>
      </c>
      <c r="B453" s="274" t="s">
        <v>1789</v>
      </c>
      <c r="C453" s="274" t="s">
        <v>1790</v>
      </c>
      <c r="D453" s="275" t="s">
        <v>2633</v>
      </c>
    </row>
    <row r="454" spans="1:4">
      <c r="A454" s="274" t="s">
        <v>1573</v>
      </c>
      <c r="B454" s="274" t="s">
        <v>1574</v>
      </c>
      <c r="C454" s="274" t="s">
        <v>1575</v>
      </c>
      <c r="D454" s="275" t="s">
        <v>2633</v>
      </c>
    </row>
    <row r="455" spans="1:4">
      <c r="A455" s="274" t="s">
        <v>1079</v>
      </c>
      <c r="B455" s="274" t="s">
        <v>1080</v>
      </c>
      <c r="C455" s="274" t="s">
        <v>1081</v>
      </c>
      <c r="D455" s="275" t="s">
        <v>2633</v>
      </c>
    </row>
    <row r="456" spans="1:4">
      <c r="A456" s="274" t="s">
        <v>1374</v>
      </c>
      <c r="B456" s="274" t="s">
        <v>1375</v>
      </c>
      <c r="C456" s="274" t="s">
        <v>1376</v>
      </c>
      <c r="D456" s="275" t="s">
        <v>2633</v>
      </c>
    </row>
    <row r="457" spans="1:4">
      <c r="A457" s="274" t="s">
        <v>1995</v>
      </c>
      <c r="B457" s="274" t="s">
        <v>1996</v>
      </c>
      <c r="C457" s="274" t="s">
        <v>1997</v>
      </c>
      <c r="D457" s="275" t="s">
        <v>2633</v>
      </c>
    </row>
    <row r="458" spans="1:4">
      <c r="A458" s="274" t="s">
        <v>894</v>
      </c>
      <c r="B458" s="274" t="s">
        <v>895</v>
      </c>
      <c r="C458" s="274" t="s">
        <v>896</v>
      </c>
      <c r="D458" s="275" t="s">
        <v>2633</v>
      </c>
    </row>
    <row r="459" spans="1:4">
      <c r="A459" s="274" t="s">
        <v>969</v>
      </c>
      <c r="B459" s="274" t="s">
        <v>970</v>
      </c>
      <c r="C459" s="274" t="s">
        <v>971</v>
      </c>
      <c r="D459" s="275" t="s">
        <v>2633</v>
      </c>
    </row>
    <row r="460" spans="1:4">
      <c r="A460" s="274" t="s">
        <v>1922</v>
      </c>
      <c r="B460" s="274" t="s">
        <v>1923</v>
      </c>
      <c r="C460" s="274" t="s">
        <v>1924</v>
      </c>
      <c r="D460" s="275" t="s">
        <v>2633</v>
      </c>
    </row>
    <row r="461" spans="1:4">
      <c r="A461" s="274" t="s">
        <v>885</v>
      </c>
      <c r="B461" s="274" t="s">
        <v>886</v>
      </c>
      <c r="C461" s="274" t="s">
        <v>887</v>
      </c>
      <c r="D461" s="275" t="s">
        <v>2633</v>
      </c>
    </row>
    <row r="462" spans="1:4">
      <c r="A462" s="274" t="s">
        <v>2176</v>
      </c>
      <c r="B462" s="274" t="s">
        <v>2177</v>
      </c>
      <c r="C462" s="274" t="s">
        <v>2178</v>
      </c>
      <c r="D462" s="275" t="s">
        <v>2633</v>
      </c>
    </row>
    <row r="463" spans="1:4">
      <c r="A463" s="274" t="s">
        <v>2222</v>
      </c>
      <c r="B463" s="274" t="s">
        <v>2223</v>
      </c>
      <c r="C463" s="274" t="s">
        <v>2224</v>
      </c>
      <c r="D463" s="275" t="s">
        <v>2633</v>
      </c>
    </row>
    <row r="464" spans="1:4">
      <c r="A464" s="274" t="s">
        <v>1749</v>
      </c>
      <c r="B464" s="274" t="s">
        <v>1750</v>
      </c>
      <c r="C464" s="274" t="s">
        <v>1751</v>
      </c>
      <c r="D464" s="275" t="s">
        <v>2633</v>
      </c>
    </row>
    <row r="465" spans="1:4">
      <c r="A465" s="274" t="s">
        <v>1857</v>
      </c>
      <c r="B465" s="274" t="s">
        <v>1858</v>
      </c>
      <c r="C465" s="274" t="s">
        <v>1859</v>
      </c>
      <c r="D465" s="275" t="s">
        <v>2633</v>
      </c>
    </row>
    <row r="466" spans="1:4">
      <c r="A466" s="274" t="s">
        <v>1508</v>
      </c>
      <c r="B466" s="274" t="s">
        <v>1509</v>
      </c>
      <c r="C466" s="274" t="s">
        <v>1510</v>
      </c>
      <c r="D466" s="275" t="s">
        <v>2633</v>
      </c>
    </row>
    <row r="467" spans="1:4">
      <c r="A467" s="274" t="s">
        <v>1625</v>
      </c>
      <c r="B467" s="274" t="s">
        <v>1626</v>
      </c>
      <c r="C467" s="274" t="s">
        <v>1627</v>
      </c>
      <c r="D467" s="275" t="s">
        <v>2633</v>
      </c>
    </row>
    <row r="468" spans="1:4">
      <c r="A468" s="274" t="s">
        <v>1014</v>
      </c>
      <c r="B468" s="274" t="s">
        <v>1015</v>
      </c>
      <c r="C468" s="274" t="s">
        <v>1016</v>
      </c>
      <c r="D468" s="275" t="s">
        <v>2633</v>
      </c>
    </row>
    <row r="469" spans="1:4">
      <c r="A469" s="274" t="s">
        <v>1645</v>
      </c>
      <c r="B469" s="274" t="s">
        <v>1646</v>
      </c>
      <c r="C469" s="274" t="s">
        <v>1647</v>
      </c>
      <c r="D469" s="275" t="s">
        <v>2633</v>
      </c>
    </row>
    <row r="470" spans="1:4">
      <c r="A470" s="274" t="s">
        <v>737</v>
      </c>
      <c r="B470" s="274" t="s">
        <v>738</v>
      </c>
      <c r="C470" s="274" t="s">
        <v>739</v>
      </c>
      <c r="D470" s="275" t="s">
        <v>2633</v>
      </c>
    </row>
    <row r="471" spans="1:4">
      <c r="A471" s="274" t="s">
        <v>1331</v>
      </c>
      <c r="B471" s="274" t="s">
        <v>1332</v>
      </c>
      <c r="C471" s="274" t="s">
        <v>1333</v>
      </c>
      <c r="D471" s="275" t="s">
        <v>2633</v>
      </c>
    </row>
    <row r="472" spans="1:4">
      <c r="A472" s="274" t="s">
        <v>1904</v>
      </c>
      <c r="B472" s="274" t="s">
        <v>1905</v>
      </c>
      <c r="C472" s="274" t="s">
        <v>1906</v>
      </c>
      <c r="D472" s="275" t="s">
        <v>2633</v>
      </c>
    </row>
    <row r="473" spans="1:4">
      <c r="A473" s="274" t="s">
        <v>1638</v>
      </c>
      <c r="B473" s="274" t="s">
        <v>1639</v>
      </c>
      <c r="C473" s="274" t="s">
        <v>1640</v>
      </c>
      <c r="D473" s="275" t="s">
        <v>2633</v>
      </c>
    </row>
    <row r="474" spans="1:4">
      <c r="A474" s="274" t="s">
        <v>2532</v>
      </c>
      <c r="B474" s="274" t="s">
        <v>2533</v>
      </c>
      <c r="C474" s="274" t="s">
        <v>2534</v>
      </c>
      <c r="D474" s="275" t="s">
        <v>2633</v>
      </c>
    </row>
    <row r="475" spans="1:4">
      <c r="A475" s="274" t="s">
        <v>2313</v>
      </c>
      <c r="B475" s="274" t="s">
        <v>2314</v>
      </c>
      <c r="C475" s="274" t="s">
        <v>2315</v>
      </c>
      <c r="D475" s="275" t="s">
        <v>2633</v>
      </c>
    </row>
    <row r="476" spans="1:4">
      <c r="A476" s="274" t="s">
        <v>2231</v>
      </c>
      <c r="B476" s="274" t="s">
        <v>2232</v>
      </c>
      <c r="C476" s="274" t="s">
        <v>2233</v>
      </c>
      <c r="D476" s="275" t="s">
        <v>2633</v>
      </c>
    </row>
    <row r="477" spans="1:4">
      <c r="A477" s="274" t="s">
        <v>1530</v>
      </c>
      <c r="B477" s="274" t="s">
        <v>1531</v>
      </c>
      <c r="C477" s="274" t="s">
        <v>1532</v>
      </c>
      <c r="D477" s="275" t="s">
        <v>2633</v>
      </c>
    </row>
    <row r="478" spans="1:4">
      <c r="A478" s="274" t="s">
        <v>2297</v>
      </c>
      <c r="B478" s="274" t="s">
        <v>2298</v>
      </c>
      <c r="C478" s="274" t="s">
        <v>2299</v>
      </c>
      <c r="D478" s="275" t="s">
        <v>2634</v>
      </c>
    </row>
    <row r="479" spans="1:4">
      <c r="A479" s="274" t="s">
        <v>434</v>
      </c>
      <c r="B479" s="274" t="s">
        <v>435</v>
      </c>
      <c r="C479" s="274" t="s">
        <v>436</v>
      </c>
      <c r="D479" s="275" t="s">
        <v>2634</v>
      </c>
    </row>
    <row r="480" spans="1:4">
      <c r="A480" s="274" t="s">
        <v>1988</v>
      </c>
      <c r="B480" s="274" t="s">
        <v>1556</v>
      </c>
      <c r="C480" s="274" t="s">
        <v>1989</v>
      </c>
      <c r="D480" s="275" t="s">
        <v>2634</v>
      </c>
    </row>
    <row r="481" spans="1:4">
      <c r="A481" s="274" t="s">
        <v>1555</v>
      </c>
      <c r="B481" s="274" t="s">
        <v>1556</v>
      </c>
      <c r="C481" s="274" t="s">
        <v>1557</v>
      </c>
      <c r="D481" s="275" t="s">
        <v>2634</v>
      </c>
    </row>
    <row r="482" spans="1:4">
      <c r="A482" s="274" t="s">
        <v>1272</v>
      </c>
      <c r="B482" s="274" t="s">
        <v>1273</v>
      </c>
      <c r="C482" s="274" t="s">
        <v>1274</v>
      </c>
      <c r="D482" s="275" t="s">
        <v>2634</v>
      </c>
    </row>
    <row r="483" spans="1:4">
      <c r="A483" s="274" t="s">
        <v>723</v>
      </c>
      <c r="B483" s="274" t="s">
        <v>724</v>
      </c>
      <c r="C483" s="274" t="s">
        <v>725</v>
      </c>
      <c r="D483" s="275" t="s">
        <v>2634</v>
      </c>
    </row>
    <row r="484" spans="1:4">
      <c r="A484" s="274" t="s">
        <v>1601</v>
      </c>
      <c r="B484" s="274" t="s">
        <v>1602</v>
      </c>
      <c r="C484" s="274" t="s">
        <v>1603</v>
      </c>
      <c r="D484" s="275" t="s">
        <v>2634</v>
      </c>
    </row>
    <row r="485" spans="1:4">
      <c r="A485" s="274" t="s">
        <v>2536</v>
      </c>
      <c r="B485" s="274" t="s">
        <v>2537</v>
      </c>
      <c r="C485" s="274" t="s">
        <v>2538</v>
      </c>
      <c r="D485" s="275" t="s">
        <v>2634</v>
      </c>
    </row>
    <row r="486" spans="1:4">
      <c r="A486" s="274" t="s">
        <v>626</v>
      </c>
      <c r="B486" s="274" t="s">
        <v>627</v>
      </c>
      <c r="C486" s="274" t="s">
        <v>628</v>
      </c>
      <c r="D486" s="275" t="s">
        <v>2634</v>
      </c>
    </row>
    <row r="487" spans="1:4">
      <c r="A487" s="274" t="s">
        <v>1362</v>
      </c>
      <c r="B487" s="274" t="s">
        <v>1363</v>
      </c>
      <c r="C487" s="274" t="s">
        <v>1364</v>
      </c>
      <c r="D487" s="275" t="s">
        <v>2634</v>
      </c>
    </row>
    <row r="488" spans="1:4">
      <c r="A488" s="274" t="s">
        <v>572</v>
      </c>
      <c r="B488" s="274" t="s">
        <v>573</v>
      </c>
      <c r="C488" s="274" t="s">
        <v>574</v>
      </c>
      <c r="D488" s="275" t="s">
        <v>2634</v>
      </c>
    </row>
    <row r="489" spans="1:4">
      <c r="A489" s="274" t="s">
        <v>1036</v>
      </c>
      <c r="B489" s="274" t="s">
        <v>1037</v>
      </c>
      <c r="C489" s="274" t="s">
        <v>1038</v>
      </c>
      <c r="D489" s="275" t="s">
        <v>2634</v>
      </c>
    </row>
    <row r="490" spans="1:4">
      <c r="A490" s="274" t="s">
        <v>2426</v>
      </c>
      <c r="B490" s="274" t="s">
        <v>2427</v>
      </c>
      <c r="C490" s="274" t="s">
        <v>2428</v>
      </c>
      <c r="D490" s="275" t="s">
        <v>2634</v>
      </c>
    </row>
    <row r="491" spans="1:4">
      <c r="A491" s="274" t="s">
        <v>2565</v>
      </c>
      <c r="B491" s="274" t="s">
        <v>2566</v>
      </c>
      <c r="C491" s="274" t="s">
        <v>2567</v>
      </c>
      <c r="D491" s="275" t="s">
        <v>2634</v>
      </c>
    </row>
    <row r="492" spans="1:4">
      <c r="A492" s="274" t="s">
        <v>985</v>
      </c>
      <c r="B492" s="274" t="s">
        <v>982</v>
      </c>
      <c r="C492" s="274" t="s">
        <v>986</v>
      </c>
      <c r="D492" s="275" t="s">
        <v>2630</v>
      </c>
    </row>
    <row r="493" spans="1:4">
      <c r="A493" s="274" t="s">
        <v>2115</v>
      </c>
      <c r="B493" s="274" t="s">
        <v>2116</v>
      </c>
      <c r="C493" s="274" t="s">
        <v>2117</v>
      </c>
      <c r="D493" s="275" t="s">
        <v>2630</v>
      </c>
    </row>
    <row r="494" spans="1:4">
      <c r="A494" s="274" t="s">
        <v>1899</v>
      </c>
      <c r="B494" s="274" t="s">
        <v>1900</v>
      </c>
      <c r="C494" s="274" t="s">
        <v>1901</v>
      </c>
      <c r="D494" s="275" t="s">
        <v>2630</v>
      </c>
    </row>
    <row r="495" spans="1:4">
      <c r="A495" s="274" t="s">
        <v>2208</v>
      </c>
      <c r="B495" s="274" t="s">
        <v>2209</v>
      </c>
      <c r="C495" s="274" t="s">
        <v>2210</v>
      </c>
      <c r="D495" s="275" t="s">
        <v>2630</v>
      </c>
    </row>
    <row r="496" spans="1:4">
      <c r="A496" s="274" t="s">
        <v>1255</v>
      </c>
      <c r="B496" s="274" t="s">
        <v>1256</v>
      </c>
      <c r="C496" s="274" t="s">
        <v>1257</v>
      </c>
      <c r="D496" s="275" t="s">
        <v>2630</v>
      </c>
    </row>
    <row r="497" spans="1:4">
      <c r="A497" s="274" t="s">
        <v>1162</v>
      </c>
      <c r="B497" s="274" t="s">
        <v>1163</v>
      </c>
      <c r="C497" s="274" t="s">
        <v>1164</v>
      </c>
      <c r="D497" s="275" t="s">
        <v>2630</v>
      </c>
    </row>
    <row r="498" spans="1:4">
      <c r="A498" s="274" t="s">
        <v>1617</v>
      </c>
      <c r="B498" s="274" t="s">
        <v>1618</v>
      </c>
      <c r="C498" s="274" t="s">
        <v>1619</v>
      </c>
      <c r="D498" s="275" t="s">
        <v>2630</v>
      </c>
    </row>
    <row r="499" spans="1:4">
      <c r="A499" s="274" t="s">
        <v>305</v>
      </c>
      <c r="B499" s="274" t="s">
        <v>306</v>
      </c>
      <c r="C499" s="274" t="s">
        <v>307</v>
      </c>
      <c r="D499" s="275" t="s">
        <v>2630</v>
      </c>
    </row>
    <row r="500" spans="1:4">
      <c r="A500" s="274" t="s">
        <v>507</v>
      </c>
      <c r="B500" s="274" t="s">
        <v>508</v>
      </c>
      <c r="C500" s="274" t="s">
        <v>509</v>
      </c>
      <c r="D500" s="275" t="s">
        <v>2630</v>
      </c>
    </row>
    <row r="501" spans="1:4">
      <c r="A501" s="274" t="s">
        <v>1542</v>
      </c>
      <c r="B501" s="274" t="s">
        <v>1543</v>
      </c>
      <c r="C501" s="274" t="s">
        <v>1544</v>
      </c>
      <c r="D501" s="275" t="s">
        <v>2630</v>
      </c>
    </row>
    <row r="502" spans="1:4">
      <c r="A502" s="274" t="s">
        <v>2070</v>
      </c>
      <c r="B502" s="274" t="s">
        <v>2071</v>
      </c>
      <c r="C502" s="274" t="s">
        <v>2072</v>
      </c>
      <c r="D502" s="275" t="s">
        <v>2630</v>
      </c>
    </row>
    <row r="503" spans="1:4">
      <c r="A503" s="274" t="s">
        <v>742</v>
      </c>
      <c r="B503" s="274" t="s">
        <v>743</v>
      </c>
      <c r="C503" s="274" t="s">
        <v>744</v>
      </c>
      <c r="D503" s="275" t="s">
        <v>2630</v>
      </c>
    </row>
    <row r="504" spans="1:4">
      <c r="A504" s="274" t="s">
        <v>450</v>
      </c>
      <c r="B504" s="274" t="s">
        <v>451</v>
      </c>
      <c r="C504" s="274" t="s">
        <v>452</v>
      </c>
      <c r="D504" s="275" t="s">
        <v>2630</v>
      </c>
    </row>
    <row r="505" spans="1:4">
      <c r="A505" s="274" t="s">
        <v>2270</v>
      </c>
      <c r="B505" s="274" t="s">
        <v>2271</v>
      </c>
      <c r="C505" s="274" t="s">
        <v>2272</v>
      </c>
      <c r="D505" s="275" t="s">
        <v>2630</v>
      </c>
    </row>
    <row r="506" spans="1:4">
      <c r="A506" s="274" t="s">
        <v>547</v>
      </c>
      <c r="B506" s="274" t="s">
        <v>548</v>
      </c>
      <c r="C506" s="274" t="s">
        <v>549</v>
      </c>
      <c r="D506" s="275" t="s">
        <v>2630</v>
      </c>
    </row>
    <row r="507" spans="1:4">
      <c r="A507" s="274" t="s">
        <v>2195</v>
      </c>
      <c r="B507" s="274" t="s">
        <v>2196</v>
      </c>
      <c r="C507" s="274" t="s">
        <v>2197</v>
      </c>
      <c r="D507" s="275" t="s">
        <v>2630</v>
      </c>
    </row>
    <row r="508" spans="1:4">
      <c r="A508" s="274" t="s">
        <v>372</v>
      </c>
      <c r="B508" s="274" t="s">
        <v>373</v>
      </c>
      <c r="C508" s="274" t="s">
        <v>374</v>
      </c>
      <c r="D508" s="275" t="s">
        <v>2630</v>
      </c>
    </row>
    <row r="509" spans="1:4">
      <c r="A509" s="274" t="s">
        <v>2156</v>
      </c>
      <c r="B509" s="274" t="s">
        <v>2157</v>
      </c>
      <c r="C509" s="274" t="s">
        <v>2158</v>
      </c>
      <c r="D509" s="275" t="s">
        <v>2630</v>
      </c>
    </row>
    <row r="510" spans="1:4">
      <c r="A510" s="274" t="s">
        <v>1436</v>
      </c>
      <c r="B510" s="274" t="s">
        <v>1437</v>
      </c>
      <c r="C510" s="274" t="s">
        <v>1438</v>
      </c>
      <c r="D510" s="275" t="s">
        <v>2630</v>
      </c>
    </row>
    <row r="511" spans="1:4">
      <c r="A511" s="274" t="s">
        <v>925</v>
      </c>
      <c r="B511" s="274" t="s">
        <v>926</v>
      </c>
      <c r="C511" s="274" t="s">
        <v>927</v>
      </c>
      <c r="D511" s="275" t="s">
        <v>2630</v>
      </c>
    </row>
    <row r="512" spans="1:4">
      <c r="A512" s="274" t="s">
        <v>1783</v>
      </c>
      <c r="B512" s="274" t="s">
        <v>1784</v>
      </c>
      <c r="C512" s="274" t="s">
        <v>1785</v>
      </c>
      <c r="D512" s="275" t="s">
        <v>2630</v>
      </c>
    </row>
    <row r="513" spans="1:4">
      <c r="A513" s="274" t="s">
        <v>1966</v>
      </c>
      <c r="B513" s="274" t="s">
        <v>1967</v>
      </c>
      <c r="C513" s="274" t="s">
        <v>1968</v>
      </c>
      <c r="D513" s="275" t="s">
        <v>2630</v>
      </c>
    </row>
    <row r="514" spans="1:4">
      <c r="A514" s="274" t="s">
        <v>2378</v>
      </c>
      <c r="B514" s="274" t="s">
        <v>2379</v>
      </c>
      <c r="C514" s="274" t="s">
        <v>2380</v>
      </c>
      <c r="D514" s="275" t="s">
        <v>2630</v>
      </c>
    </row>
    <row r="515" spans="1:4">
      <c r="A515" s="274" t="s">
        <v>2518</v>
      </c>
      <c r="B515" s="274" t="s">
        <v>2519</v>
      </c>
      <c r="C515" s="274" t="s">
        <v>2520</v>
      </c>
      <c r="D515" s="275" t="s">
        <v>2630</v>
      </c>
    </row>
    <row r="516" spans="1:4">
      <c r="A516" s="274" t="s">
        <v>2031</v>
      </c>
      <c r="B516" s="274" t="s">
        <v>2032</v>
      </c>
      <c r="C516" s="274" t="s">
        <v>2033</v>
      </c>
      <c r="D516" s="275" t="s">
        <v>2630</v>
      </c>
    </row>
    <row r="517" spans="1:4">
      <c r="A517" s="274" t="s">
        <v>1409</v>
      </c>
      <c r="B517" s="274" t="s">
        <v>1410</v>
      </c>
      <c r="C517" s="274" t="s">
        <v>1411</v>
      </c>
      <c r="D517" s="275" t="s">
        <v>2630</v>
      </c>
    </row>
    <row r="518" spans="1:4">
      <c r="A518" s="274" t="s">
        <v>1892</v>
      </c>
      <c r="B518" s="274" t="s">
        <v>1893</v>
      </c>
      <c r="C518" s="274" t="s">
        <v>1894</v>
      </c>
      <c r="D518" s="275" t="s">
        <v>2630</v>
      </c>
    </row>
    <row r="519" spans="1:4">
      <c r="A519" s="274" t="s">
        <v>2556</v>
      </c>
      <c r="B519" s="274" t="s">
        <v>2557</v>
      </c>
      <c r="C519" s="274" t="s">
        <v>2558</v>
      </c>
      <c r="D519" s="275" t="s">
        <v>2630</v>
      </c>
    </row>
    <row r="520" spans="1:4">
      <c r="A520" s="274" t="s">
        <v>1046</v>
      </c>
      <c r="B520" s="274" t="s">
        <v>1047</v>
      </c>
      <c r="C520" s="274" t="s">
        <v>1048</v>
      </c>
      <c r="D520" s="275" t="s">
        <v>2638</v>
      </c>
    </row>
    <row r="521" spans="1:4">
      <c r="A521" s="274" t="s">
        <v>2444</v>
      </c>
      <c r="B521" s="274" t="s">
        <v>2445</v>
      </c>
      <c r="C521" s="274" t="s">
        <v>2446</v>
      </c>
      <c r="D521" s="275" t="s">
        <v>2638</v>
      </c>
    </row>
    <row r="522" spans="1:4">
      <c r="A522" s="274" t="s">
        <v>408</v>
      </c>
      <c r="B522" s="274" t="s">
        <v>409</v>
      </c>
      <c r="C522" s="274" t="s">
        <v>410</v>
      </c>
      <c r="D522" s="275" t="s">
        <v>2637</v>
      </c>
    </row>
    <row r="523" spans="1:4">
      <c r="A523" s="274" t="s">
        <v>1588</v>
      </c>
      <c r="B523" s="274" t="s">
        <v>1589</v>
      </c>
      <c r="C523" s="274" t="s">
        <v>1590</v>
      </c>
      <c r="D523" s="275" t="s">
        <v>2637</v>
      </c>
    </row>
    <row r="524" spans="1:4">
      <c r="A524" s="274" t="s">
        <v>1142</v>
      </c>
      <c r="B524" s="274" t="s">
        <v>1143</v>
      </c>
      <c r="C524" s="274" t="s">
        <v>1144</v>
      </c>
      <c r="D524" s="275" t="s">
        <v>2637</v>
      </c>
    </row>
    <row r="525" spans="1:4">
      <c r="A525" s="274" t="s">
        <v>2090</v>
      </c>
      <c r="B525" s="274" t="s">
        <v>2091</v>
      </c>
      <c r="C525" s="274" t="s">
        <v>2092</v>
      </c>
      <c r="D525" s="275" t="s">
        <v>2637</v>
      </c>
    </row>
    <row r="526" spans="1:4">
      <c r="A526" s="274" t="s">
        <v>796</v>
      </c>
      <c r="B526" s="274" t="s">
        <v>797</v>
      </c>
      <c r="C526" s="274" t="s">
        <v>798</v>
      </c>
      <c r="D526" s="275" t="s">
        <v>2637</v>
      </c>
    </row>
    <row r="527" spans="1:4">
      <c r="A527" s="274" t="s">
        <v>830</v>
      </c>
      <c r="B527" s="274" t="s">
        <v>831</v>
      </c>
      <c r="C527" s="274" t="s">
        <v>832</v>
      </c>
      <c r="D527" s="275" t="s">
        <v>2637</v>
      </c>
    </row>
    <row r="528" spans="1:4">
      <c r="A528" s="274" t="s">
        <v>2309</v>
      </c>
      <c r="B528" s="274" t="s">
        <v>2310</v>
      </c>
      <c r="C528" s="274" t="s">
        <v>2311</v>
      </c>
      <c r="D528" s="275" t="s">
        <v>2637</v>
      </c>
    </row>
    <row r="529" spans="1:4">
      <c r="A529" s="274" t="s">
        <v>1927</v>
      </c>
      <c r="B529" s="274" t="s">
        <v>1928</v>
      </c>
      <c r="C529" s="274" t="s">
        <v>1929</v>
      </c>
      <c r="D529" s="275" t="s">
        <v>2637</v>
      </c>
    </row>
    <row r="530" spans="1:4">
      <c r="A530" s="274" t="s">
        <v>1170</v>
      </c>
      <c r="B530" s="274" t="s">
        <v>357</v>
      </c>
      <c r="C530" s="274" t="s">
        <v>1171</v>
      </c>
      <c r="D530" s="275" t="s">
        <v>2637</v>
      </c>
    </row>
    <row r="531" spans="1:4">
      <c r="A531" s="274" t="s">
        <v>356</v>
      </c>
      <c r="B531" s="274" t="s">
        <v>357</v>
      </c>
      <c r="C531" s="274" t="s">
        <v>358</v>
      </c>
      <c r="D531" s="275" t="s">
        <v>2637</v>
      </c>
    </row>
    <row r="532" spans="1:4">
      <c r="A532" s="274" t="s">
        <v>1166</v>
      </c>
      <c r="B532" s="274" t="s">
        <v>1167</v>
      </c>
      <c r="C532" s="274" t="s">
        <v>1168</v>
      </c>
      <c r="D532" s="275" t="s">
        <v>2637</v>
      </c>
    </row>
    <row r="533" spans="1:4">
      <c r="A533" s="274" t="s">
        <v>2263</v>
      </c>
      <c r="B533" s="274" t="s">
        <v>2264</v>
      </c>
      <c r="C533" s="274" t="s">
        <v>2265</v>
      </c>
      <c r="D533" s="275" t="s">
        <v>140</v>
      </c>
    </row>
    <row r="534" spans="1:4">
      <c r="A534" s="274" t="s">
        <v>2035</v>
      </c>
      <c r="B534" s="274" t="s">
        <v>2036</v>
      </c>
      <c r="C534" s="274" t="s">
        <v>2037</v>
      </c>
      <c r="D534" s="275" t="s">
        <v>140</v>
      </c>
    </row>
    <row r="535" spans="1:4">
      <c r="A535" s="274" t="s">
        <v>938</v>
      </c>
      <c r="B535" s="274" t="s">
        <v>939</v>
      </c>
      <c r="C535" s="274" t="s">
        <v>940</v>
      </c>
      <c r="D535" s="275" t="s">
        <v>140</v>
      </c>
    </row>
    <row r="536" spans="1:4">
      <c r="A536" s="274" t="s">
        <v>316</v>
      </c>
      <c r="B536" s="274" t="s">
        <v>317</v>
      </c>
      <c r="C536" s="274" t="s">
        <v>318</v>
      </c>
      <c r="D536" s="275" t="s">
        <v>140</v>
      </c>
    </row>
    <row r="537" spans="1:4">
      <c r="A537" s="274" t="s">
        <v>1569</v>
      </c>
      <c r="B537" s="274" t="s">
        <v>1570</v>
      </c>
      <c r="C537" s="274" t="s">
        <v>1571</v>
      </c>
      <c r="D537" s="275" t="s">
        <v>140</v>
      </c>
    </row>
    <row r="538" spans="1:4">
      <c r="A538" s="274" t="s">
        <v>2292</v>
      </c>
      <c r="B538" s="274" t="s">
        <v>2293</v>
      </c>
      <c r="C538" s="274" t="s">
        <v>2294</v>
      </c>
      <c r="D538" s="275" t="s">
        <v>2641</v>
      </c>
    </row>
    <row r="539" spans="1:4">
      <c r="A539" s="277">
        <f>COUNTA(D2:D538)</f>
        <v>537</v>
      </c>
      <c r="B539" s="276" t="s">
        <v>2645</v>
      </c>
    </row>
    <row r="540" spans="1:4">
      <c r="A540" s="277">
        <f>A539-A541-A542</f>
        <v>433</v>
      </c>
      <c r="B540" s="276" t="s">
        <v>2642</v>
      </c>
    </row>
    <row r="541" spans="1:4">
      <c r="A541" s="277">
        <f>COUNTIF(D2:D538,"E")</f>
        <v>32</v>
      </c>
      <c r="B541" s="276" t="s">
        <v>2643</v>
      </c>
    </row>
    <row r="542" spans="1:4">
      <c r="A542" s="277">
        <f>COUNTIF(D2:D538,"D")</f>
        <v>72</v>
      </c>
      <c r="B542" s="276" t="s">
        <v>2644</v>
      </c>
    </row>
    <row r="543" spans="1:4">
      <c r="A543" s="8">
        <f>A540+A541+A542</f>
        <v>537</v>
      </c>
      <c r="B543" s="278" t="s">
        <v>2646</v>
      </c>
    </row>
  </sheetData>
  <sortState ref="A2:D538">
    <sortCondition ref="D2:D538"/>
  </sortState>
  <pageMargins left="0.7" right="0.7" top="0.75" bottom="0.75" header="0.3" footer="0.3"/>
  <pageSetup paperSize="9"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selection activeCell="I6" sqref="I6"/>
    </sheetView>
  </sheetViews>
  <sheetFormatPr baseColWidth="10" defaultRowHeight="15"/>
  <sheetData>
    <row r="1" spans="1:7">
      <c r="A1" t="s">
        <v>2648</v>
      </c>
      <c r="E1" t="s">
        <v>2647</v>
      </c>
      <c r="G1" s="39" t="s">
        <v>2649</v>
      </c>
    </row>
  </sheetData>
  <hyperlinks>
    <hyperlink ref="G1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"/>
  <sheetViews>
    <sheetView workbookViewId="0">
      <selection activeCell="F1" sqref="F1"/>
    </sheetView>
  </sheetViews>
  <sheetFormatPr baseColWidth="10" defaultRowHeight="15"/>
  <sheetData>
    <row r="1" spans="1:6">
      <c r="A1" t="s">
        <v>2624</v>
      </c>
      <c r="D1" t="s">
        <v>2623</v>
      </c>
      <c r="F1" s="39" t="s">
        <v>2625</v>
      </c>
    </row>
  </sheetData>
  <hyperlinks>
    <hyperlink ref="F1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4"/>
  <sheetViews>
    <sheetView workbookViewId="0">
      <selection sqref="A1:B24"/>
    </sheetView>
  </sheetViews>
  <sheetFormatPr baseColWidth="10" defaultRowHeight="15"/>
  <cols>
    <col min="1" max="1" width="25.5703125" customWidth="1"/>
  </cols>
  <sheetData>
    <row r="1" spans="1:2">
      <c r="A1" s="13"/>
      <c r="B1" s="13"/>
    </row>
    <row r="2" spans="1:2">
      <c r="A2" s="13"/>
      <c r="B2" s="13"/>
    </row>
    <row r="3" spans="1:2">
      <c r="A3" s="13"/>
      <c r="B3" s="13"/>
    </row>
    <row r="4" spans="1:2">
      <c r="A4" s="13"/>
      <c r="B4" s="13"/>
    </row>
    <row r="5" spans="1:2">
      <c r="A5" s="13"/>
      <c r="B5" s="13"/>
    </row>
    <row r="6" spans="1:2">
      <c r="A6" s="13"/>
      <c r="B6" s="13"/>
    </row>
    <row r="7" spans="1:2">
      <c r="A7" s="13"/>
      <c r="B7" s="13"/>
    </row>
    <row r="8" spans="1:2">
      <c r="A8" s="13"/>
      <c r="B8" s="13"/>
    </row>
    <row r="9" spans="1:2">
      <c r="A9" s="13"/>
      <c r="B9" s="13"/>
    </row>
    <row r="10" spans="1:2">
      <c r="A10" s="13"/>
      <c r="B10" s="13"/>
    </row>
    <row r="11" spans="1:2">
      <c r="A11" s="13"/>
      <c r="B11" s="13"/>
    </row>
    <row r="12" spans="1:2">
      <c r="A12" s="13"/>
      <c r="B12" s="13"/>
    </row>
    <row r="13" spans="1:2">
      <c r="A13" s="13"/>
      <c r="B13" s="13"/>
    </row>
    <row r="14" spans="1:2">
      <c r="A14" s="13"/>
      <c r="B14" s="13"/>
    </row>
    <row r="15" spans="1:2">
      <c r="A15" s="13"/>
      <c r="B15" s="13"/>
    </row>
    <row r="16" spans="1:2">
      <c r="A16" s="13"/>
      <c r="B16" s="13"/>
    </row>
    <row r="17" spans="1:2">
      <c r="A17" s="13"/>
      <c r="B17" s="13"/>
    </row>
    <row r="18" spans="1:2">
      <c r="A18" s="13"/>
      <c r="B18" s="13"/>
    </row>
    <row r="19" spans="1:2">
      <c r="A19" s="13"/>
      <c r="B19" s="13"/>
    </row>
    <row r="20" spans="1:2">
      <c r="A20" s="326"/>
      <c r="B20" s="326"/>
    </row>
    <row r="21" spans="1:2">
      <c r="A21" s="326"/>
      <c r="B21" s="326"/>
    </row>
    <row r="22" spans="1:2">
      <c r="A22" s="326"/>
      <c r="B22" s="326"/>
    </row>
    <row r="23" spans="1:2">
      <c r="A23" s="31"/>
      <c r="B23" s="31"/>
    </row>
    <row r="24" spans="1:2">
      <c r="A24" s="13"/>
      <c r="B24" s="13"/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Extraction</vt:lpstr>
      <vt:lpstr>Heures épurées</vt:lpstr>
      <vt:lpstr>Heures brutes</vt:lpstr>
      <vt:lpstr>Heures productives</vt:lpstr>
      <vt:lpstr>Heures audio produites-recap</vt:lpstr>
      <vt:lpstr>Heures audio prod-extrNetBiblio</vt:lpstr>
      <vt:lpstr>Audio par type de média2</vt:lpstr>
      <vt:lpstr>Heures audio copies</vt:lpstr>
      <vt:lpstr>Heures braille produites</vt:lpstr>
      <vt:lpstr>Feuil1</vt:lpstr>
    </vt:vector>
  </TitlesOfParts>
  <Company>ABA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pillet</dc:creator>
  <cp:lastModifiedBy>pillet</cp:lastModifiedBy>
  <cp:lastPrinted>2016-02-08T12:57:50Z</cp:lastPrinted>
  <dcterms:created xsi:type="dcterms:W3CDTF">2016-01-04T17:02:09Z</dcterms:created>
  <dcterms:modified xsi:type="dcterms:W3CDTF">2016-02-18T16:09:18Z</dcterms:modified>
</cp:coreProperties>
</file>